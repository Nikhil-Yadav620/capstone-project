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933B883-9DA8-499E-9AB1-A1B61DA11E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K22" i="2"/>
  <c r="K24" i="2" s="1"/>
  <c r="F21" i="2" a="1"/>
  <c r="F21" i="2" s="1"/>
  <c r="F26" i="2"/>
  <c r="K17" i="2"/>
  <c r="K18" i="2"/>
  <c r="K19" i="2" s="1"/>
  <c r="F13" i="2" a="1"/>
  <c r="F13" i="2" s="1"/>
  <c r="L6" i="1" a="1"/>
  <c r="L6" i="1" s="1"/>
  <c r="F20" i="2"/>
  <c r="F27" i="2" s="1"/>
  <c r="L3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<sst xmlns="http://schemas.openxmlformats.org/spreadsheetml/2006/main" count="1256" uniqueCount="263">
  <si>
    <t>TransactionID</t>
  </si>
  <si>
    <t>AccountType</t>
  </si>
  <si>
    <t>Category</t>
  </si>
  <si>
    <t>Amount</t>
  </si>
  <si>
    <t>Type</t>
  </si>
  <si>
    <t>Region</t>
  </si>
  <si>
    <t>PaymentMethod</t>
  </si>
  <si>
    <t>FraudFlag</t>
  </si>
  <si>
    <t>Date</t>
  </si>
  <si>
    <t>T20000</t>
  </si>
  <si>
    <t>T20001</t>
  </si>
  <si>
    <t>T20002</t>
  </si>
  <si>
    <t>T20003</t>
  </si>
  <si>
    <t>T20004</t>
  </si>
  <si>
    <t>T20005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</si>
  <si>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</si>
  <si>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</si>
  <si>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</si>
  <si>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</si>
  <si>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</si>
  <si>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</si>
  <si>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</si>
  <si>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</si>
  <si>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</si>
  <si>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T20015</t>
  </si>
  <si>
    <t>T20016</t>
  </si>
  <si>
    <t>T20017</t>
  </si>
  <si>
    <t>T20018</t>
  </si>
  <si>
    <t>T20019</t>
  </si>
  <si>
    <t>T20020</t>
  </si>
  <si>
    <t>T20021</t>
  </si>
  <si>
    <t>T20022</t>
  </si>
  <si>
    <t>T20023</t>
  </si>
  <si>
    <t>T20024</t>
  </si>
  <si>
    <t>T20025</t>
  </si>
  <si>
    <t>T20026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</si>
  <si>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</si>
  <si>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</si>
  <si>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</si>
  <si>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</si>
  <si>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</si>
  <si>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</si>
  <si>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</si>
  <si>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</si>
  <si>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</si>
  <si>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</si>
  <si>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</si>
  <si>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</si>
  <si>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</si>
  <si>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</si>
  <si>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</si>
  <si>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T20042</t>
  </si>
  <si>
    <t>T20043</t>
  </si>
  <si>
    <t>T20044</t>
  </si>
  <si>
    <t>T20045</t>
  </si>
  <si>
    <t>T20046</t>
  </si>
  <si>
    <t>T20047</t>
  </si>
  <si>
    <t>T20048</t>
  </si>
  <si>
    <t>T20049</t>
  </si>
  <si>
    <t>T20050</t>
  </si>
  <si>
    <t>T20051</t>
  </si>
  <si>
    <t>T20052</t>
  </si>
  <si>
    <t>T20053</t>
  </si>
  <si>
    <t>T20054</t>
  </si>
  <si>
    <t>T20055</t>
  </si>
  <si>
    <t>T20056</t>
  </si>
  <si>
    <t>T20057</t>
  </si>
  <si>
    <t>T20058</t>
  </si>
  <si>
    <t>T20059</t>
  </si>
  <si>
    <t>T20060</t>
  </si>
  <si>
    <t>T20061</t>
  </si>
  <si>
    <t>T20062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</si>
  <si>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</si>
  <si>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</si>
  <si>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</si>
  <si>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</si>
  <si>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</si>
  <si>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</si>
  <si>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</si>
  <si>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</si>
  <si>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</si>
  <si>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</si>
  <si>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T20073</t>
  </si>
  <si>
    <t>T20074</t>
  </si>
  <si>
    <t>T20075</t>
  </si>
  <si>
    <t>T20076</t>
  </si>
  <si>
    <t>T20077</t>
  </si>
  <si>
    <t>T20078</t>
  </si>
  <si>
    <t>T20079</t>
  </si>
  <si>
    <t>T20080</t>
  </si>
  <si>
    <t>T20081</t>
  </si>
  <si>
    <t>T20082</t>
  </si>
  <si>
    <t>T20083</t>
  </si>
  <si>
    <t>T20084</t>
  </si>
  <si>
    <t>T20085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</si>
  <si>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</si>
  <si>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</si>
  <si>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</si>
  <si>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</si>
  <si>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</si>
  <si>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</si>
  <si>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</si>
  <si>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</si>
  <si>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</si>
  <si>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</si>
  <si>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T20096</t>
  </si>
  <si>
    <t>T20097</t>
  </si>
  <si>
    <t>T20098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</si>
  <si>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</si>
  <si>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</si>
  <si>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</si>
  <si>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</si>
  <si>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</si>
  <si>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</si>
  <si>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</si>
  <si>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</si>
  <si>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</si>
  <si>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</si>
  <si>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</si>
  <si>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</si>
  <si>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</si>
  <si>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</si>
  <si>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</si>
  <si>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</si>
  <si>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</si>
  <si>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</si>
  <si>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</si>
  <si>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</si>
  <si>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</si>
  <si>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T20120</t>
  </si>
  <si>
    <t>T20121</t>
  </si>
  <si>
    <t>T20122</t>
  </si>
  <si>
    <t>T20123</t>
  </si>
  <si>
    <t>T20124</t>
  </si>
  <si>
    <t>T20125</t>
  </si>
  <si>
    <t>T20126</t>
  </si>
  <si>
    <t>T20127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</si>
  <si>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</si>
  <si>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</si>
  <si>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</si>
  <si>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</si>
  <si>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</si>
  <si>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</si>
  <si>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</si>
  <si>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</si>
  <si>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</si>
  <si>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</si>
  <si>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</si>
  <si>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T20139</t>
  </si>
  <si>
    <t>T20140</t>
  </si>
  <si>
    <t>T20141</t>
  </si>
  <si>
    <t>T20142</t>
  </si>
  <si>
    <t>T20143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</si>
  <si>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</si>
  <si>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</si>
  <si>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</si>
  <si>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</si>
  <si>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</si>
  <si>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</si>
  <si>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</si>
  <si>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</si>
  <si>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</si>
  <si>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</si>
  <si>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</si>
  <si>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T20155</t>
  </si>
  <si>
    <t>T20156</t>
  </si>
  <si>
    <t>T20157</t>
  </si>
  <si>
    <t>T20158</t>
  </si>
  <si>
    <t>T20159</t>
  </si>
  <si>
    <t>T20160</t>
  </si>
  <si>
    <t>T20161</t>
  </si>
  <si>
    <t>T20162</t>
  </si>
  <si>
    <t>T20163</t>
  </si>
  <si>
    <t>T20164</t>
  </si>
  <si>
    <t>T20165</t>
  </si>
  <si>
    <t>T20166</t>
  </si>
  <si>
    <t>T20167</t>
  </si>
  <si>
    <t>T20168</t>
  </si>
  <si>
    <t>T20169</t>
  </si>
  <si>
    <t>T20170</t>
  </si>
  <si>
    <t>T20171</t>
  </si>
  <si>
    <t>T20172</t>
  </si>
  <si>
    <t>T20173</t>
  </si>
  <si>
    <t>T20174</t>
  </si>
  <si>
    <t>T20175</t>
  </si>
  <si>
    <t>T20176</t>
  </si>
  <si>
    <t>T20177</t>
  </si>
  <si>
    <t>T20178</t>
  </si>
  <si>
    <t>T20179</t>
  </si>
  <si>
    <t>T20180</t>
  </si>
  <si>
    <t>T20181</t>
  </si>
  <si>
    <t>T20182</t>
  </si>
  <si>
    <t>T20183</t>
  </si>
  <si>
    <t>T20184</t>
  </si>
  <si>
    <t>T20185</t>
  </si>
  <si>
    <t>T20186</t>
  </si>
  <si>
    <t>T20187</t>
  </si>
  <si>
    <t>T20188</t>
  </si>
  <si>
    <t>T20189</t>
  </si>
  <si>
    <t>T20190</t>
  </si>
  <si>
    <t>T20191</t>
  </si>
  <si>
    <t>T20192</t>
  </si>
  <si>
    <t>T20193</t>
  </si>
  <si>
    <t>T20194</t>
  </si>
  <si>
    <t>T20195</t>
  </si>
  <si>
    <t>T20196</t>
  </si>
  <si>
    <t>T20197</t>
  </si>
  <si>
    <t>T20198</t>
  </si>
  <si>
    <t>T20199</t>
  </si>
  <si>
    <t>Credit</t>
  </si>
  <si>
    <t>Savings</t>
  </si>
  <si>
    <t>Current</t>
  </si>
  <si>
    <t>Shopping</t>
  </si>
  <si>
    <t>Salary</t>
  </si>
  <si>
    <t>Utilities</t>
  </si>
  <si>
    <t>Investment</t>
  </si>
  <si>
    <t>Loan</t>
  </si>
  <si>
    <t>Revenue</t>
  </si>
  <si>
    <t>Expense</t>
  </si>
  <si>
    <t>North</t>
  </si>
  <si>
    <t>West</t>
  </si>
  <si>
    <t>East</t>
  </si>
  <si>
    <t>South</t>
  </si>
  <si>
    <t>NetBanking</t>
  </si>
  <si>
    <t>Wallet</t>
  </si>
  <si>
    <t>UPI</t>
  </si>
  <si>
    <t>Card</t>
  </si>
  <si>
    <t>total revenue</t>
  </si>
  <si>
    <t>total transaction</t>
  </si>
  <si>
    <t>ROLL NO</t>
  </si>
  <si>
    <t>NAME</t>
  </si>
  <si>
    <t xml:space="preserve">DESIGNATION </t>
  </si>
  <si>
    <t>AGE</t>
  </si>
  <si>
    <t>MONTHLY EXPENSES</t>
  </si>
  <si>
    <t>DEPARTMENT</t>
  </si>
  <si>
    <t>Abhay</t>
  </si>
  <si>
    <t>Vinay</t>
  </si>
  <si>
    <t>Akahay</t>
  </si>
  <si>
    <t>Aniraj</t>
  </si>
  <si>
    <t>Akanksha</t>
  </si>
  <si>
    <t>Ashmita</t>
  </si>
  <si>
    <t>MBA</t>
  </si>
  <si>
    <t>B.TECH</t>
  </si>
  <si>
    <t>M.TECH</t>
  </si>
  <si>
    <t>DIPLOMA</t>
  </si>
  <si>
    <t xml:space="preserve">Marketing </t>
  </si>
  <si>
    <t>CSE</t>
  </si>
  <si>
    <t>AI</t>
  </si>
  <si>
    <t>DATA SCIENCE</t>
  </si>
  <si>
    <t>ARTS</t>
  </si>
  <si>
    <t>IT</t>
  </si>
  <si>
    <t>TOTAL DESIGNATION PRESENT</t>
  </si>
  <si>
    <t>TOTAL EXPENSE STUDENT</t>
  </si>
  <si>
    <t>TOTAL DEPARTMENT</t>
  </si>
  <si>
    <t>COUNT STUDENT</t>
  </si>
  <si>
    <t>AVERAGE EXPENSES OF STUDENT</t>
  </si>
  <si>
    <t>PAYMENT METHOD</t>
  </si>
  <si>
    <t>NUMBER OF DESIGNATION</t>
  </si>
  <si>
    <t>EXPENSES OF M.TECH</t>
  </si>
  <si>
    <t>AVERAGE</t>
  </si>
  <si>
    <t>AVERAGE EXPANSE OF STUDENT FROM M.TECH WITH AI DEPARTMENT</t>
  </si>
  <si>
    <t>KHIJOOH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</si>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</sst>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5" borderId="1" xfId="0" applyFill="1" applyBorder="1"/>
    <xf numFmtId="0" fontId="0" fillId="6" borderId="1" xfId="0" applyFill="1" applyBorder="1"/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2" fontId="0" fillId="0" borderId="0" xfId="0" applyNumberFormat="1"/>
    <xf numFmtId="0" fontId="0" fillId="5" borderId="2" xfId="0" applyFill="1" applyBorder="1"/>
    <xf numFmtId="165" fontId="0" fillId="5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numFmt numFmtId="165" formatCode="&quot;₹&quot;\ #,##0.00"/>
      <alignment horizontal="center" vertical="bottom" textRotation="0" wrapText="0" indent="0" justifyLastLine="0" shrinkToFit="0" readingOrder="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78B-4D8F-B2E0-1124805E6B8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78B-4D8F-B2E0-1124805E6B8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78B-4D8F-B2E0-1124805E6B8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78B-4D8F-B2E0-1124805E6B87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78B-4D8F-B2E0-1124805E6B87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78B-4D8F-B2E0-1124805E6B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78B-4D8F-B2E0-1124805E6B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78B-4D8F-B2E0-1124805E6B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78B-4D8F-B2E0-1124805E6B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78B-4D8F-B2E0-1124805E6B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78B-4D8F-B2E0-1124805E6B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78B-4D8F-B2E0-1124805E6B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778B-4D8F-B2E0-1124805E6B8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78B-4D8F-B2E0-1124805E6B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Sheet2!$B$16:$B$22</c:f>
              <c:strCache>
                <c:ptCount val="7"/>
                <c:pt idx="0">
                  <c:v>Abhay</c:v>
                </c:pt>
                <c:pt idx="1">
                  <c:v>Vinay</c:v>
                </c:pt>
                <c:pt idx="2">
                  <c:v>Akahay</c:v>
                </c:pt>
                <c:pt idx="3">
                  <c:v>Aniraj</c:v>
                </c:pt>
                <c:pt idx="4">
                  <c:v>Akanksha</c:v>
                </c:pt>
                <c:pt idx="5">
                  <c:v>Ashmita</c:v>
                </c:pt>
                <c:pt idx="6">
                  <c:v>KHIJOOH</c:v>
                </c:pt>
              </c:strCache>
            </c:strRef>
          </c:cat>
          <c:val>
            <c:numRef>
              <c:f>Sheet2!$C$16:$C$22</c:f>
              <c:numCache>
                <c:formatCode>"₹"\ #,##0.00</c:formatCode>
                <c:ptCount val="7"/>
                <c:pt idx="0">
                  <c:v>23243</c:v>
                </c:pt>
                <c:pt idx="1">
                  <c:v>24234</c:v>
                </c:pt>
                <c:pt idx="2">
                  <c:v>36535</c:v>
                </c:pt>
                <c:pt idx="3">
                  <c:v>24242</c:v>
                </c:pt>
                <c:pt idx="4">
                  <c:v>36757</c:v>
                </c:pt>
                <c:pt idx="5">
                  <c:v>12324</c:v>
                </c:pt>
                <c:pt idx="6">
                  <c:v>56475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B-4D8F-B2E0-1124805E6B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474133</xdr:colOff>
      <xdr:row>0</xdr:row>
      <xdr:rowOff>75752</xdr:rowOff>
    </xdr:from>
    <xdr:to>
      <xdr:col>10</xdr:col>
      <xdr:colOff>591029</xdr:colOff>
      <xdr:row>15</xdr:row>
      <xdr:rowOff>52455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D5E37-ED2A-B15D-6D5E-7C324ACE5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6B491-9328-4E00-97FD-955CB8B1C55D}" name="Table2" displayName="Table2" ref="A1:I201" totalsRowShown="0" headerRowDxfId="4" headerRowBorderDxfId="3" tableBorderDxfId="2">
  <autoFilter ref="A1:I201" xr:uid="{9436B491-9328-4E00-97FD-955CB8B1C55D}"/>
  <tableColumns count="9">
    <tableColumn id="1" xr3:uid="{E6FF8E57-08EC-4DB5-A170-35F6BADE0E56}" name="TransactionID"/>
    <tableColumn id="2" xr3:uid="{AE4C6D72-6E05-406D-9BD9-E69DCD895781}" name="AccountType"/>
    <tableColumn id="3" xr3:uid="{36241B99-EC8A-46D3-8B65-EC830F088A14}" name="Category"/>
    <tableColumn id="4" xr3:uid="{5F165DFD-3A31-4AA0-9C0B-DB6E051EED2C}" name="Amount"/>
    <tableColumn id="5" xr3:uid="{CC13E963-F1EE-457F-8146-AFCB52A72EFB}" name="Type"/>
    <tableColumn id="6" xr3:uid="{D8968F3A-A156-4790-A2E9-C0D5C2392AE9}" name="Region"/>
    <tableColumn id="7" xr3:uid="{48CC27D7-31E3-47B5-929C-D0121A9EC003}" name="PaymentMethod"/>
    <tableColumn id="8" xr3:uid="{E970CB77-18CB-4A3B-804C-E1F79221E6EA}" name="FraudFlag"/>
    <tableColumn id="9" xr3:uid="{277ACA2D-4666-4908-8F65-24B5468237FB}" name="Dat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DBB79-C6F8-4E90-9E92-FC605FD35175}" name="Table1" displayName="Table1" ref="A1:F9" totalsRowCount="1" headerRowDxfId="6">
  <autoFilter ref="A1:F8" xr:uid="{02BDBB79-C6F8-4E90-9E92-FC605FD35175}"/>
  <tableColumns count="6">
    <tableColumn id="1" xr3:uid="{303F77F0-82CF-4C21-B477-9E7491B0BC58}" name="ROLL NO"/>
    <tableColumn id="2" xr3:uid="{13E15D80-F4AA-4D13-B1AF-D9918B1B948D}" name="NAME"/>
    <tableColumn id="3" xr3:uid="{5F096CDA-74BD-461C-91E1-AC5A3E2AAC77}" name="DESIGNATION "/>
    <tableColumn id="4" xr3:uid="{F0614F2C-B49D-47B2-B8E7-20D81D2BF233}" name="AGE"/>
    <tableColumn id="5" xr3:uid="{63842EAC-B24F-476B-B6CD-FC713015E326}" name="MONTHLY EXPENSES" totalsRowFunction="custom" dataDxfId="5" totalsRowDxfId="0">
      <totalsRowFormula>SUM(E2:E8)</totalsRowFormula>
    </tableColumn>
    <tableColumn id="6" xr3:uid="{D8C618C9-87A5-4DA8-8684-3A2526F6689F}" name="DEPART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selection activeCell="B17" sqref="B17"/>
    </sheetView>
  </sheetViews>
  <sheetFormatPr defaultRowHeight="14.4" x14ac:dyDescent="0.3"/>
  <cols>
    <col min="1" max="1" width="20.109375" bestFit="1" customWidth="1"/>
    <col min="2" max="2" width="19.33203125" bestFit="1" customWidth="1"/>
    <col min="3" max="3" width="14.88671875" bestFit="1" customWidth="1"/>
    <col min="4" max="4" width="14" bestFit="1" customWidth="1"/>
    <col min="5" max="5" width="10.5546875" bestFit="1" customWidth="1"/>
    <col min="6" max="6" width="12.77734375" bestFit="1" customWidth="1"/>
    <col min="7" max="7" width="23.5546875" bestFit="1" customWidth="1"/>
    <col min="8" max="8" width="15.77734375" bestFit="1" customWidth="1"/>
    <col min="9" max="9" width="18.109375" bestFit="1" customWidth="1"/>
    <col min="11" max="11" width="17.21875" bestFit="1" customWidth="1"/>
    <col min="12" max="12" width="10.33203125" bestFit="1" customWidth="1"/>
  </cols>
  <sheetData>
    <row r="1" spans="1:12" ht="18" x14ac:dyDescent="0.3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2" x14ac:dyDescent="0.3">
      <c r="A2" t="s">
        <v>9</v>
      </c>
      <c r="B2" t="s">
        <v>209</v>
      </c>
      <c r="C2" t="s">
        <v>212</v>
      </c>
      <c r="D2">
        <v>11201</v>
      </c>
      <c r="E2" t="s">
        <v>217</v>
      </c>
      <c r="F2" t="s">
        <v>219</v>
      </c>
      <c r="G2" t="s">
        <v>223</v>
      </c>
      <c r="H2">
        <v>0</v>
      </c>
      <c r="I2" s="1">
        <v>45575</v>
      </c>
      <c r="K2" t="s">
        <v>227</v>
      </c>
      <c r="L2">
        <f>SUM(D:D)</f>
        <v>4784138</v>
      </c>
    </row>
    <row r="3" spans="1:12" x14ac:dyDescent="0.3">
      <c r="A3" t="s">
        <v>10</v>
      </c>
      <c r="B3" t="s">
        <v>210</v>
      </c>
      <c r="C3" t="s">
        <v>213</v>
      </c>
      <c r="D3">
        <v>40818</v>
      </c>
      <c r="E3" t="s">
        <v>218</v>
      </c>
      <c r="F3" t="s">
        <v>220</v>
      </c>
      <c r="G3" t="s">
        <v>223</v>
      </c>
      <c r="H3">
        <v>1</v>
      </c>
      <c r="I3" s="1">
        <v>45371</v>
      </c>
      <c r="K3" t="s">
        <v>228</v>
      </c>
      <c r="L3">
        <f>COUNTA(A2:A201)</f>
        <v>200</v>
      </c>
    </row>
    <row r="4" spans="1:12" x14ac:dyDescent="0.3">
      <c r="A4" t="s">
        <v>11</v>
      </c>
      <c r="B4" t="s">
        <v>211</v>
      </c>
      <c r="C4" t="s">
        <v>212</v>
      </c>
      <c r="D4">
        <v>32702</v>
      </c>
      <c r="E4" t="s">
        <v>217</v>
      </c>
      <c r="F4" t="s">
        <v>219</v>
      </c>
      <c r="G4" t="s">
        <v>224</v>
      </c>
      <c r="H4">
        <v>0</v>
      </c>
      <c r="I4" s="1">
        <v>45431</v>
      </c>
    </row>
    <row r="5" spans="1:12" x14ac:dyDescent="0.3">
      <c r="A5" t="s">
        <v>12</v>
      </c>
      <c r="B5" t="s">
        <v>209</v>
      </c>
      <c r="C5" t="s">
        <v>214</v>
      </c>
      <c r="D5">
        <v>9222</v>
      </c>
      <c r="E5" t="s">
        <v>218</v>
      </c>
      <c r="F5" t="s">
        <v>219</v>
      </c>
      <c r="G5" t="s">
        <v>225</v>
      </c>
      <c r="H5">
        <v>0</v>
      </c>
      <c r="I5" s="1">
        <v>45436</v>
      </c>
    </row>
    <row r="6" spans="1:12" x14ac:dyDescent="0.3">
      <c r="A6" t="s">
        <v>13</v>
      </c>
      <c r="B6" t="s">
        <v>210</v>
      </c>
      <c r="C6" t="s">
        <v>214</v>
      </c>
      <c r="D6">
        <v>12676</v>
      </c>
      <c r="E6" t="s">
        <v>217</v>
      </c>
      <c r="F6" t="s">
        <v>221</v>
      </c>
      <c r="G6" t="s">
        <v>223</v>
      </c>
      <c r="H6">
        <v>0</v>
      </c>
      <c r="I6" s="1">
        <v>45601</v>
      </c>
      <c r="K6" t="s">
        <v>256</v>
      </c>
      <c r="L6" t="str" cm="1">
        <f t="array" ref="L6:L9">_xlfn.UNIQUE(Table2[PaymentMethod],)</f>
        <v>NetBanking</v>
      </c>
    </row>
    <row r="7" spans="1:12" x14ac:dyDescent="0.3">
      <c r="A7" t="s">
        <v>14</v>
      </c>
      <c r="B7" t="s">
        <v>210</v>
      </c>
      <c r="C7" t="s">
        <v>213</v>
      </c>
      <c r="D7">
        <v>27616</v>
      </c>
      <c r="E7" t="s">
        <v>218</v>
      </c>
      <c r="F7" t="s">
        <v>220</v>
      </c>
      <c r="G7" t="s">
        <v>226</v>
      </c>
      <c r="H7">
        <v>0</v>
      </c>
      <c r="I7" s="1">
        <v>45399</v>
      </c>
      <c r="L7" t="str">
        <v>Wallet</v>
      </c>
    </row>
    <row r="8" spans="1:12" x14ac:dyDescent="0.3">
      <c r="A8" t="s">
        <v>15</v>
      </c>
      <c r="B8" t="s">
        <v>210</v>
      </c>
      <c r="C8" t="s">
        <v>215</v>
      </c>
      <c r="D8">
        <v>22533</v>
      </c>
      <c r="E8" t="s">
        <v>218</v>
      </c>
      <c r="F8" t="s">
        <v>221</v>
      </c>
      <c r="G8" t="s">
        <v>225</v>
      </c>
      <c r="H8">
        <v>0</v>
      </c>
      <c r="I8" s="1">
        <v>45467</v>
      </c>
      <c r="L8" t="str">
        <v>UPI</v>
      </c>
    </row>
    <row r="9" spans="1:12" x14ac:dyDescent="0.3">
      <c r="A9" t="s">
        <v>16</v>
      </c>
      <c r="B9" t="s">
        <v>209</v>
      </c>
      <c r="C9" t="s">
        <v>216</v>
      </c>
      <c r="D9">
        <v>1189</v>
      </c>
      <c r="E9" t="s">
        <v>217</v>
      </c>
      <c r="F9" t="s">
        <v>219</v>
      </c>
      <c r="G9" t="s">
        <v>223</v>
      </c>
      <c r="H9">
        <v>0</v>
      </c>
      <c r="I9" s="1">
        <v>45396</v>
      </c>
      <c r="L9" t="str">
        <v>Card</v>
      </c>
    </row>
    <row r="10" spans="1:12" x14ac:dyDescent="0.3">
      <c r="A10" t="s">
        <v>17</v>
      </c>
      <c r="B10" t="s">
        <v>209</v>
      </c>
      <c r="C10" t="s">
        <v>212</v>
      </c>
      <c r="D10">
        <v>37446</v>
      </c>
      <c r="E10" t="s">
        <v>218</v>
      </c>
      <c r="F10" t="s">
        <v>222</v>
      </c>
      <c r="G10" t="s">
        <v>225</v>
      </c>
      <c r="H10">
        <v>0</v>
      </c>
      <c r="I10" s="1">
        <v>45643</v>
      </c>
    </row>
    <row r="11" spans="1:12" x14ac:dyDescent="0.3">
      <c r="A11" t="s">
        <v>18</v>
      </c>
      <c r="B11" t="s">
        <v>211</v>
      </c>
      <c r="C11" t="s">
        <v>214</v>
      </c>
      <c r="D11">
        <v>9227</v>
      </c>
      <c r="E11" t="s">
        <v>218</v>
      </c>
      <c r="F11" t="s">
        <v>220</v>
      </c>
      <c r="G11" t="s">
        <v>226</v>
      </c>
      <c r="H11">
        <v>0</v>
      </c>
      <c r="I11" s="1">
        <v>45616</v>
      </c>
    </row>
    <row r="12" spans="1:12" x14ac:dyDescent="0.3">
      <c r="A12" t="s">
        <v>19</v>
      </c>
      <c r="B12" t="s">
        <v>209</v>
      </c>
      <c r="C12" t="s">
        <v>215</v>
      </c>
      <c r="D12">
        <v>10587</v>
      </c>
      <c r="E12" t="s">
        <v>217</v>
      </c>
      <c r="F12" t="s">
        <v>222</v>
      </c>
      <c r="G12" t="s">
        <v>223</v>
      </c>
      <c r="H12">
        <v>0</v>
      </c>
      <c r="I12" s="1">
        <v>45427</v>
      </c>
    </row>
    <row r="13" spans="1:12" x14ac:dyDescent="0.3">
      <c r="A13" t="s">
        <v>20</v>
      </c>
      <c r="B13" t="s">
        <v>209</v>
      </c>
      <c r="C13" t="s">
        <v>213</v>
      </c>
      <c r="D13">
        <v>255</v>
      </c>
      <c r="E13" t="s">
        <v>218</v>
      </c>
      <c r="F13" t="s">
        <v>220</v>
      </c>
      <c r="G13" t="s">
        <v>226</v>
      </c>
      <c r="H13">
        <v>0</v>
      </c>
      <c r="I13" s="1">
        <v>45550</v>
      </c>
    </row>
    <row r="14" spans="1:12" x14ac:dyDescent="0.3">
      <c r="A14" t="s">
        <v>21</v>
      </c>
      <c r="B14" t="s">
        <v>210</v>
      </c>
      <c r="C14" t="s">
        <v>214</v>
      </c>
      <c r="D14">
        <v>2058</v>
      </c>
      <c r="E14" t="s">
        <v>217</v>
      </c>
      <c r="F14" t="s">
        <v>221</v>
      </c>
      <c r="G14" t="s">
        <v>224</v>
      </c>
      <c r="H14">
        <v>0</v>
      </c>
      <c r="I14" s="1">
        <v>45542</v>
      </c>
    </row>
    <row r="15" spans="1:12" x14ac:dyDescent="0.3">
      <c r="A15" t="s">
        <v>22</v>
      </c>
      <c r="B15" t="s">
        <v>211</v>
      </c>
      <c r="C15" t="s">
        <v>213</v>
      </c>
      <c r="D15">
        <v>10793</v>
      </c>
      <c r="E15" t="s">
        <v>217</v>
      </c>
      <c r="F15" t="s">
        <v>221</v>
      </c>
      <c r="G15" t="s">
        <v>223</v>
      </c>
      <c r="H15">
        <v>0</v>
      </c>
      <c r="I15" s="1">
        <v>45420</v>
      </c>
    </row>
    <row r="16" spans="1:12" x14ac:dyDescent="0.3">
      <c r="A16" t="s">
        <v>23</v>
      </c>
      <c r="B16" t="s">
        <v>209</v>
      </c>
      <c r="C16" t="s">
        <v>212</v>
      </c>
      <c r="D16">
        <v>39212</v>
      </c>
      <c r="E16" t="s">
        <v>217</v>
      </c>
      <c r="F16" t="s">
        <v>221</v>
      </c>
      <c r="G16" t="s">
        <v>223</v>
      </c>
      <c r="H16">
        <v>0</v>
      </c>
      <c r="I16" s="1">
        <v>45318</v>
      </c>
    </row>
    <row r="17" spans="1:9" x14ac:dyDescent="0.3">
      <c r="A17" t="s">
        <v>24</v>
      </c>
      <c r="B17" t="s">
        <v>209</v>
      </c>
      <c r="C17" t="s">
        <v>216</v>
      </c>
      <c r="D17">
        <v>38647</v>
      </c>
      <c r="E17" t="s">
        <v>217</v>
      </c>
      <c r="F17" t="s">
        <v>221</v>
      </c>
      <c r="G17" t="s">
        <v>223</v>
      </c>
      <c r="H17">
        <v>0</v>
      </c>
      <c r="I17" s="1">
        <v>45339</v>
      </c>
    </row>
    <row r="18" spans="1:9" x14ac:dyDescent="0.3">
      <c r="A18" t="s">
        <v>25</v>
      </c>
      <c r="B18" t="s">
        <v>210</v>
      </c>
      <c r="C18" t="s">
        <v>214</v>
      </c>
      <c r="D18">
        <v>28895</v>
      </c>
      <c r="E18" t="s">
        <v>218</v>
      </c>
      <c r="F18" t="s">
        <v>221</v>
      </c>
      <c r="G18" t="s">
        <v>223</v>
      </c>
      <c r="H18">
        <v>0</v>
      </c>
      <c r="I18" s="1">
        <v>45616</v>
      </c>
    </row>
    <row r="19" spans="1:9" x14ac:dyDescent="0.3">
      <c r="A19" t="s">
        <v>26</v>
      </c>
      <c r="B19" t="s">
        <v>210</v>
      </c>
      <c r="C19" t="s">
        <v>214</v>
      </c>
      <c r="D19">
        <v>21547</v>
      </c>
      <c r="E19" t="s">
        <v>218</v>
      </c>
      <c r="F19" t="s">
        <v>222</v>
      </c>
      <c r="G19" t="s">
        <v>224</v>
      </c>
      <c r="H19">
        <v>0</v>
      </c>
      <c r="I19" s="1">
        <v>45508</v>
      </c>
    </row>
    <row r="20" spans="1:9" x14ac:dyDescent="0.3">
      <c r="A20" t="s">
        <v>27</v>
      </c>
      <c r="B20" t="s">
        <v>209</v>
      </c>
      <c r="C20" t="s">
        <v>212</v>
      </c>
      <c r="D20">
        <v>36698</v>
      </c>
      <c r="E20" t="s">
        <v>218</v>
      </c>
      <c r="F20" t="s">
        <v>221</v>
      </c>
      <c r="G20" t="s">
        <v>223</v>
      </c>
      <c r="H20">
        <v>0</v>
      </c>
      <c r="I20" s="1">
        <v>45433</v>
      </c>
    </row>
    <row r="21" spans="1:9" x14ac:dyDescent="0.3">
      <c r="A21" t="s">
        <v>28</v>
      </c>
      <c r="B21" t="s">
        <v>211</v>
      </c>
      <c r="C21" t="s">
        <v>215</v>
      </c>
      <c r="D21">
        <v>41914</v>
      </c>
      <c r="E21" t="s">
        <v>217</v>
      </c>
      <c r="F21" t="s">
        <v>219</v>
      </c>
      <c r="G21" t="s">
        <v>225</v>
      </c>
      <c r="H21">
        <v>1</v>
      </c>
      <c r="I21" s="1">
        <v>45314</v>
      </c>
    </row>
    <row r="22" spans="1:9" x14ac:dyDescent="0.3">
      <c r="A22" t="s">
        <v>29</v>
      </c>
      <c r="B22" t="s">
        <v>211</v>
      </c>
      <c r="C22" t="s">
        <v>216</v>
      </c>
      <c r="D22">
        <v>25315</v>
      </c>
      <c r="E22" t="s">
        <v>218</v>
      </c>
      <c r="F22" t="s">
        <v>219</v>
      </c>
      <c r="G22" t="s">
        <v>223</v>
      </c>
      <c r="H22">
        <v>0</v>
      </c>
      <c r="I22" s="1">
        <v>45293</v>
      </c>
    </row>
    <row r="23" spans="1:9" x14ac:dyDescent="0.3">
      <c r="A23" t="s">
        <v>30</v>
      </c>
      <c r="B23" t="s">
        <v>210</v>
      </c>
      <c r="C23" t="s">
        <v>214</v>
      </c>
      <c r="D23">
        <v>9894</v>
      </c>
      <c r="E23" t="s">
        <v>218</v>
      </c>
      <c r="F23" t="s">
        <v>222</v>
      </c>
      <c r="G23" t="s">
        <v>224</v>
      </c>
      <c r="H23">
        <v>1</v>
      </c>
      <c r="I23" s="1">
        <v>45462</v>
      </c>
    </row>
    <row r="24" spans="1:9" x14ac:dyDescent="0.3">
      <c r="A24" t="s">
        <v>31</v>
      </c>
      <c r="B24" t="s">
        <v>210</v>
      </c>
      <c r="C24" t="s">
        <v>216</v>
      </c>
      <c r="D24">
        <v>33309</v>
      </c>
      <c r="E24" t="s">
        <v>217</v>
      </c>
      <c r="F24" t="s">
        <v>220</v>
      </c>
      <c r="G24" t="s">
        <v>223</v>
      </c>
      <c r="H24">
        <v>0</v>
      </c>
      <c r="I24" s="1">
        <v>45358</v>
      </c>
    </row>
    <row r="25" spans="1:9" x14ac:dyDescent="0.3">
      <c r="A25" t="s">
        <v>32</v>
      </c>
      <c r="B25" t="s">
        <v>209</v>
      </c>
      <c r="C25" t="s">
        <v>214</v>
      </c>
      <c r="D25">
        <v>22524</v>
      </c>
      <c r="E25" t="s">
        <v>217</v>
      </c>
      <c r="F25" t="s">
        <v>219</v>
      </c>
      <c r="G25" t="s">
        <v>225</v>
      </c>
      <c r="H25">
        <v>0</v>
      </c>
      <c r="I25" s="1">
        <v>45618</v>
      </c>
    </row>
    <row r="26" spans="1:9" x14ac:dyDescent="0.3">
      <c r="A26" t="s">
        <v>33</v>
      </c>
      <c r="B26" t="s">
        <v>210</v>
      </c>
      <c r="C26" t="s">
        <v>216</v>
      </c>
      <c r="D26">
        <v>47346</v>
      </c>
      <c r="E26" t="s">
        <v>218</v>
      </c>
      <c r="F26" t="s">
        <v>220</v>
      </c>
      <c r="G26" t="s">
        <v>224</v>
      </c>
      <c r="H26">
        <v>0</v>
      </c>
      <c r="I26" s="1">
        <v>45426</v>
      </c>
    </row>
    <row r="27" spans="1:9" x14ac:dyDescent="0.3">
      <c r="A27" t="s">
        <v>34</v>
      </c>
      <c r="B27" t="s">
        <v>209</v>
      </c>
      <c r="C27" t="s">
        <v>213</v>
      </c>
      <c r="D27">
        <v>37496</v>
      </c>
      <c r="E27" t="s">
        <v>217</v>
      </c>
      <c r="F27" t="s">
        <v>222</v>
      </c>
      <c r="G27" t="s">
        <v>224</v>
      </c>
      <c r="H27">
        <v>0</v>
      </c>
      <c r="I27" s="1">
        <v>45374</v>
      </c>
    </row>
    <row r="28" spans="1:9" x14ac:dyDescent="0.3">
      <c r="A28" t="s">
        <v>35</v>
      </c>
      <c r="B28" t="s">
        <v>211</v>
      </c>
      <c r="C28" t="s">
        <v>214</v>
      </c>
      <c r="D28">
        <v>6470</v>
      </c>
      <c r="E28" t="s">
        <v>217</v>
      </c>
      <c r="F28" t="s">
        <v>220</v>
      </c>
      <c r="G28" t="s">
        <v>225</v>
      </c>
      <c r="H28">
        <v>0</v>
      </c>
      <c r="I28" s="1">
        <v>45518</v>
      </c>
    </row>
    <row r="29" spans="1:9" x14ac:dyDescent="0.3">
      <c r="A29" t="s">
        <v>36</v>
      </c>
      <c r="B29" t="s">
        <v>211</v>
      </c>
      <c r="C29" t="s">
        <v>216</v>
      </c>
      <c r="D29">
        <v>9628</v>
      </c>
      <c r="E29" t="s">
        <v>217</v>
      </c>
      <c r="F29" t="s">
        <v>220</v>
      </c>
      <c r="G29" t="s">
        <v>225</v>
      </c>
      <c r="H29">
        <v>1</v>
      </c>
      <c r="I29" s="1">
        <v>45574</v>
      </c>
    </row>
    <row r="30" spans="1:9" x14ac:dyDescent="0.3">
      <c r="A30" t="s">
        <v>37</v>
      </c>
      <c r="B30" t="s">
        <v>209</v>
      </c>
      <c r="C30" t="s">
        <v>215</v>
      </c>
      <c r="D30">
        <v>28376</v>
      </c>
      <c r="E30" t="s">
        <v>217</v>
      </c>
      <c r="F30" t="s">
        <v>220</v>
      </c>
      <c r="G30" t="s">
        <v>225</v>
      </c>
      <c r="H30">
        <v>1</v>
      </c>
      <c r="I30" s="1">
        <v>45653</v>
      </c>
    </row>
    <row r="31" spans="1:9" x14ac:dyDescent="0.3">
      <c r="A31" t="s">
        <v>38</v>
      </c>
      <c r="B31" t="s">
        <v>210</v>
      </c>
      <c r="C31" t="s">
        <v>213</v>
      </c>
      <c r="D31">
        <v>44433</v>
      </c>
      <c r="E31" t="s">
        <v>218</v>
      </c>
      <c r="F31" t="s">
        <v>220</v>
      </c>
      <c r="G31" t="s">
        <v>225</v>
      </c>
      <c r="H31">
        <v>0</v>
      </c>
      <c r="I31" s="1">
        <v>45510</v>
      </c>
    </row>
    <row r="32" spans="1:9" x14ac:dyDescent="0.3">
      <c r="A32" t="s">
        <v>39</v>
      </c>
      <c r="B32" t="s">
        <v>211</v>
      </c>
      <c r="C32" t="s">
        <v>213</v>
      </c>
      <c r="D32">
        <v>8279</v>
      </c>
      <c r="E32" t="s">
        <v>217</v>
      </c>
      <c r="F32" t="s">
        <v>222</v>
      </c>
      <c r="G32" t="s">
        <v>225</v>
      </c>
      <c r="H32">
        <v>0</v>
      </c>
      <c r="I32" s="1">
        <v>45579</v>
      </c>
    </row>
    <row r="33" spans="1:9" x14ac:dyDescent="0.3">
      <c r="A33" t="s">
        <v>40</v>
      </c>
      <c r="B33" t="s">
        <v>210</v>
      </c>
      <c r="C33" t="s">
        <v>215</v>
      </c>
      <c r="D33">
        <v>48881</v>
      </c>
      <c r="E33" t="s">
        <v>217</v>
      </c>
      <c r="F33" t="s">
        <v>219</v>
      </c>
      <c r="G33" t="s">
        <v>224</v>
      </c>
      <c r="H33">
        <v>1</v>
      </c>
      <c r="I33" s="1">
        <v>45296</v>
      </c>
    </row>
    <row r="34" spans="1:9" x14ac:dyDescent="0.3">
      <c r="A34" t="s">
        <v>41</v>
      </c>
      <c r="B34" t="s">
        <v>211</v>
      </c>
      <c r="C34" t="s">
        <v>216</v>
      </c>
      <c r="D34">
        <v>16943</v>
      </c>
      <c r="E34" t="s">
        <v>217</v>
      </c>
      <c r="F34" t="s">
        <v>221</v>
      </c>
      <c r="G34" t="s">
        <v>224</v>
      </c>
      <c r="H34">
        <v>0</v>
      </c>
      <c r="I34" s="1">
        <v>45349</v>
      </c>
    </row>
    <row r="35" spans="1:9" x14ac:dyDescent="0.3">
      <c r="A35" t="s">
        <v>42</v>
      </c>
      <c r="B35" t="s">
        <v>209</v>
      </c>
      <c r="C35" t="s">
        <v>212</v>
      </c>
      <c r="D35">
        <v>24052</v>
      </c>
      <c r="E35" t="s">
        <v>217</v>
      </c>
      <c r="F35" t="s">
        <v>220</v>
      </c>
      <c r="G35" t="s">
        <v>223</v>
      </c>
      <c r="H35">
        <v>0</v>
      </c>
      <c r="I35" s="1">
        <v>45330</v>
      </c>
    </row>
    <row r="36" spans="1:9" x14ac:dyDescent="0.3">
      <c r="A36" t="s">
        <v>43</v>
      </c>
      <c r="B36" t="s">
        <v>209</v>
      </c>
      <c r="C36" t="s">
        <v>215</v>
      </c>
      <c r="D36">
        <v>33260</v>
      </c>
      <c r="E36" t="s">
        <v>217</v>
      </c>
      <c r="F36" t="s">
        <v>219</v>
      </c>
      <c r="G36" t="s">
        <v>223</v>
      </c>
      <c r="H36">
        <v>0</v>
      </c>
      <c r="I36" s="1">
        <v>45645</v>
      </c>
    </row>
    <row r="37" spans="1:9" x14ac:dyDescent="0.3">
      <c r="A37" t="s">
        <v>44</v>
      </c>
      <c r="B37" t="s">
        <v>209</v>
      </c>
      <c r="C37" t="s">
        <v>216</v>
      </c>
      <c r="D37">
        <v>44998</v>
      </c>
      <c r="E37" t="s">
        <v>217</v>
      </c>
      <c r="F37" t="s">
        <v>219</v>
      </c>
      <c r="G37" t="s">
        <v>226</v>
      </c>
      <c r="H37">
        <v>0</v>
      </c>
      <c r="I37" s="1">
        <v>45368</v>
      </c>
    </row>
    <row r="38" spans="1:9" x14ac:dyDescent="0.3">
      <c r="A38" t="s">
        <v>45</v>
      </c>
      <c r="B38" t="s">
        <v>211</v>
      </c>
      <c r="C38" t="s">
        <v>215</v>
      </c>
      <c r="D38">
        <v>29616</v>
      </c>
      <c r="E38" t="s">
        <v>217</v>
      </c>
      <c r="F38" t="s">
        <v>222</v>
      </c>
      <c r="G38" t="s">
        <v>223</v>
      </c>
      <c r="H38">
        <v>1</v>
      </c>
      <c r="I38" s="1">
        <v>45571</v>
      </c>
    </row>
    <row r="39" spans="1:9" x14ac:dyDescent="0.3">
      <c r="A39" t="s">
        <v>46</v>
      </c>
      <c r="B39" t="s">
        <v>210</v>
      </c>
      <c r="C39" t="s">
        <v>215</v>
      </c>
      <c r="D39">
        <v>10549</v>
      </c>
      <c r="E39" t="s">
        <v>217</v>
      </c>
      <c r="F39" t="s">
        <v>219</v>
      </c>
      <c r="G39" t="s">
        <v>223</v>
      </c>
      <c r="H39">
        <v>0</v>
      </c>
      <c r="I39" s="1">
        <v>45310</v>
      </c>
    </row>
    <row r="40" spans="1:9" x14ac:dyDescent="0.3">
      <c r="A40" t="s">
        <v>47</v>
      </c>
      <c r="B40" t="s">
        <v>210</v>
      </c>
      <c r="C40" t="s">
        <v>214</v>
      </c>
      <c r="D40">
        <v>21225</v>
      </c>
      <c r="E40" t="s">
        <v>218</v>
      </c>
      <c r="F40" t="s">
        <v>222</v>
      </c>
      <c r="G40" t="s">
        <v>225</v>
      </c>
      <c r="H40">
        <v>0</v>
      </c>
      <c r="I40" s="1">
        <v>45481</v>
      </c>
    </row>
    <row r="41" spans="1:9" x14ac:dyDescent="0.3">
      <c r="A41" t="s">
        <v>48</v>
      </c>
      <c r="B41" t="s">
        <v>210</v>
      </c>
      <c r="C41" t="s">
        <v>216</v>
      </c>
      <c r="D41">
        <v>7518</v>
      </c>
      <c r="E41" t="s">
        <v>217</v>
      </c>
      <c r="F41" t="s">
        <v>220</v>
      </c>
      <c r="G41" t="s">
        <v>225</v>
      </c>
      <c r="H41">
        <v>0</v>
      </c>
      <c r="I41" s="1">
        <v>45590</v>
      </c>
    </row>
    <row r="42" spans="1:9" x14ac:dyDescent="0.3">
      <c r="A42" t="s">
        <v>49</v>
      </c>
      <c r="B42" t="s">
        <v>211</v>
      </c>
      <c r="C42" t="s">
        <v>212</v>
      </c>
      <c r="D42">
        <v>22846</v>
      </c>
      <c r="E42" t="s">
        <v>218</v>
      </c>
      <c r="F42" t="s">
        <v>220</v>
      </c>
      <c r="G42" t="s">
        <v>223</v>
      </c>
      <c r="H42">
        <v>0</v>
      </c>
      <c r="I42" s="1">
        <v>45574</v>
      </c>
    </row>
    <row r="43" spans="1:9" x14ac:dyDescent="0.3">
      <c r="A43" t="s">
        <v>50</v>
      </c>
      <c r="B43" t="s">
        <v>211</v>
      </c>
      <c r="C43" t="s">
        <v>214</v>
      </c>
      <c r="D43">
        <v>2554</v>
      </c>
      <c r="E43" t="s">
        <v>217</v>
      </c>
      <c r="F43" t="s">
        <v>221</v>
      </c>
      <c r="G43" t="s">
        <v>226</v>
      </c>
      <c r="H43">
        <v>0</v>
      </c>
      <c r="I43" s="1">
        <v>45367</v>
      </c>
    </row>
    <row r="44" spans="1:9" x14ac:dyDescent="0.3">
      <c r="A44" t="s">
        <v>51</v>
      </c>
      <c r="B44" t="s">
        <v>211</v>
      </c>
      <c r="C44" t="s">
        <v>215</v>
      </c>
      <c r="D44">
        <v>17861</v>
      </c>
      <c r="E44" t="s">
        <v>217</v>
      </c>
      <c r="F44" t="s">
        <v>221</v>
      </c>
      <c r="G44" t="s">
        <v>225</v>
      </c>
      <c r="H44">
        <v>0</v>
      </c>
      <c r="I44" s="1">
        <v>45512</v>
      </c>
    </row>
    <row r="45" spans="1:9" x14ac:dyDescent="0.3">
      <c r="A45" t="s">
        <v>52</v>
      </c>
      <c r="B45" t="s">
        <v>211</v>
      </c>
      <c r="C45" t="s">
        <v>215</v>
      </c>
      <c r="D45">
        <v>15323</v>
      </c>
      <c r="E45" t="s">
        <v>217</v>
      </c>
      <c r="F45" t="s">
        <v>221</v>
      </c>
      <c r="G45" t="s">
        <v>223</v>
      </c>
      <c r="H45">
        <v>0</v>
      </c>
      <c r="I45" s="1">
        <v>45357</v>
      </c>
    </row>
    <row r="46" spans="1:9" x14ac:dyDescent="0.3">
      <c r="A46" t="s">
        <v>53</v>
      </c>
      <c r="B46" t="s">
        <v>211</v>
      </c>
      <c r="C46" t="s">
        <v>215</v>
      </c>
      <c r="D46">
        <v>6801</v>
      </c>
      <c r="E46" t="s">
        <v>217</v>
      </c>
      <c r="F46" t="s">
        <v>219</v>
      </c>
      <c r="G46" t="s">
        <v>223</v>
      </c>
      <c r="H46">
        <v>0</v>
      </c>
      <c r="I46" s="1">
        <v>45313</v>
      </c>
    </row>
    <row r="47" spans="1:9" x14ac:dyDescent="0.3">
      <c r="A47" t="s">
        <v>54</v>
      </c>
      <c r="B47" t="s">
        <v>210</v>
      </c>
      <c r="C47" t="s">
        <v>216</v>
      </c>
      <c r="D47">
        <v>2697</v>
      </c>
      <c r="E47" t="s">
        <v>218</v>
      </c>
      <c r="F47" t="s">
        <v>220</v>
      </c>
      <c r="G47" t="s">
        <v>224</v>
      </c>
      <c r="H47">
        <v>0</v>
      </c>
      <c r="I47" s="1">
        <v>45449</v>
      </c>
    </row>
    <row r="48" spans="1:9" x14ac:dyDescent="0.3">
      <c r="A48" t="s">
        <v>55</v>
      </c>
      <c r="B48" t="s">
        <v>211</v>
      </c>
      <c r="C48" t="s">
        <v>216</v>
      </c>
      <c r="D48">
        <v>241</v>
      </c>
      <c r="E48" t="s">
        <v>217</v>
      </c>
      <c r="F48" t="s">
        <v>222</v>
      </c>
      <c r="G48" t="s">
        <v>226</v>
      </c>
      <c r="H48">
        <v>1</v>
      </c>
      <c r="I48" s="1">
        <v>45478</v>
      </c>
    </row>
    <row r="49" spans="1:9" x14ac:dyDescent="0.3">
      <c r="A49" t="s">
        <v>56</v>
      </c>
      <c r="B49" t="s">
        <v>211</v>
      </c>
      <c r="C49" t="s">
        <v>214</v>
      </c>
      <c r="D49">
        <v>2759</v>
      </c>
      <c r="E49" t="s">
        <v>217</v>
      </c>
      <c r="F49" t="s">
        <v>221</v>
      </c>
      <c r="G49" t="s">
        <v>224</v>
      </c>
      <c r="H49">
        <v>0</v>
      </c>
      <c r="I49" s="1">
        <v>45312</v>
      </c>
    </row>
    <row r="50" spans="1:9" x14ac:dyDescent="0.3">
      <c r="A50" t="s">
        <v>57</v>
      </c>
      <c r="B50" t="s">
        <v>210</v>
      </c>
      <c r="C50" t="s">
        <v>212</v>
      </c>
      <c r="D50">
        <v>21080</v>
      </c>
      <c r="E50" t="s">
        <v>218</v>
      </c>
      <c r="F50" t="s">
        <v>222</v>
      </c>
      <c r="G50" t="s">
        <v>226</v>
      </c>
      <c r="H50">
        <v>0</v>
      </c>
      <c r="I50" s="1">
        <v>45475</v>
      </c>
    </row>
    <row r="51" spans="1:9" x14ac:dyDescent="0.3">
      <c r="A51" t="s">
        <v>58</v>
      </c>
      <c r="B51" t="s">
        <v>211</v>
      </c>
      <c r="C51" t="s">
        <v>214</v>
      </c>
      <c r="D51">
        <v>9131</v>
      </c>
      <c r="E51" t="s">
        <v>218</v>
      </c>
      <c r="F51" t="s">
        <v>222</v>
      </c>
      <c r="G51" t="s">
        <v>225</v>
      </c>
      <c r="H51">
        <v>0</v>
      </c>
      <c r="I51" s="1">
        <v>45399</v>
      </c>
    </row>
    <row r="52" spans="1:9" x14ac:dyDescent="0.3">
      <c r="A52" t="s">
        <v>59</v>
      </c>
      <c r="B52" t="s">
        <v>210</v>
      </c>
      <c r="C52" t="s">
        <v>213</v>
      </c>
      <c r="D52">
        <v>15137</v>
      </c>
      <c r="E52" t="s">
        <v>217</v>
      </c>
      <c r="F52" t="s">
        <v>221</v>
      </c>
      <c r="G52" t="s">
        <v>226</v>
      </c>
      <c r="H52">
        <v>1</v>
      </c>
      <c r="I52" s="1">
        <v>45641</v>
      </c>
    </row>
    <row r="53" spans="1:9" x14ac:dyDescent="0.3">
      <c r="A53" t="s">
        <v>60</v>
      </c>
      <c r="B53" t="s">
        <v>210</v>
      </c>
      <c r="C53" t="s">
        <v>215</v>
      </c>
      <c r="D53">
        <v>46838</v>
      </c>
      <c r="E53" t="s">
        <v>218</v>
      </c>
      <c r="F53" t="s">
        <v>220</v>
      </c>
      <c r="G53" t="s">
        <v>223</v>
      </c>
      <c r="H53">
        <v>0</v>
      </c>
      <c r="I53" s="1">
        <v>45419</v>
      </c>
    </row>
    <row r="54" spans="1:9" x14ac:dyDescent="0.3">
      <c r="A54" t="s">
        <v>61</v>
      </c>
      <c r="B54" t="s">
        <v>209</v>
      </c>
      <c r="C54" t="s">
        <v>215</v>
      </c>
      <c r="D54">
        <v>38529</v>
      </c>
      <c r="E54" t="s">
        <v>218</v>
      </c>
      <c r="F54" t="s">
        <v>221</v>
      </c>
      <c r="G54" t="s">
        <v>223</v>
      </c>
      <c r="H54">
        <v>0</v>
      </c>
      <c r="I54" s="1">
        <v>45633</v>
      </c>
    </row>
    <row r="55" spans="1:9" x14ac:dyDescent="0.3">
      <c r="A55" t="s">
        <v>62</v>
      </c>
      <c r="B55" t="s">
        <v>209</v>
      </c>
      <c r="C55" t="s">
        <v>215</v>
      </c>
      <c r="D55">
        <v>6242</v>
      </c>
      <c r="E55" t="s">
        <v>218</v>
      </c>
      <c r="F55" t="s">
        <v>222</v>
      </c>
      <c r="G55" t="s">
        <v>226</v>
      </c>
      <c r="H55">
        <v>0</v>
      </c>
      <c r="I55" s="1">
        <v>45344</v>
      </c>
    </row>
    <row r="56" spans="1:9" x14ac:dyDescent="0.3">
      <c r="A56" t="s">
        <v>63</v>
      </c>
      <c r="B56" t="s">
        <v>209</v>
      </c>
      <c r="C56" t="s">
        <v>214</v>
      </c>
      <c r="D56">
        <v>12209</v>
      </c>
      <c r="E56" t="s">
        <v>217</v>
      </c>
      <c r="F56" t="s">
        <v>221</v>
      </c>
      <c r="G56" t="s">
        <v>226</v>
      </c>
      <c r="H56">
        <v>0</v>
      </c>
      <c r="I56" s="1">
        <v>45473</v>
      </c>
    </row>
    <row r="57" spans="1:9" x14ac:dyDescent="0.3">
      <c r="A57" t="s">
        <v>64</v>
      </c>
      <c r="B57" t="s">
        <v>209</v>
      </c>
      <c r="C57" t="s">
        <v>214</v>
      </c>
      <c r="D57">
        <v>22110</v>
      </c>
      <c r="E57" t="s">
        <v>217</v>
      </c>
      <c r="F57" t="s">
        <v>222</v>
      </c>
      <c r="G57" t="s">
        <v>226</v>
      </c>
      <c r="H57">
        <v>0</v>
      </c>
      <c r="I57" s="1">
        <v>45578</v>
      </c>
    </row>
    <row r="58" spans="1:9" x14ac:dyDescent="0.3">
      <c r="A58" t="s">
        <v>65</v>
      </c>
      <c r="B58" t="s">
        <v>211</v>
      </c>
      <c r="C58" t="s">
        <v>215</v>
      </c>
      <c r="D58">
        <v>8887</v>
      </c>
      <c r="E58" t="s">
        <v>217</v>
      </c>
      <c r="F58" t="s">
        <v>222</v>
      </c>
      <c r="G58" t="s">
        <v>224</v>
      </c>
      <c r="H58">
        <v>0</v>
      </c>
      <c r="I58" s="1">
        <v>45500</v>
      </c>
    </row>
    <row r="59" spans="1:9" x14ac:dyDescent="0.3">
      <c r="A59" t="s">
        <v>66</v>
      </c>
      <c r="B59" t="s">
        <v>209</v>
      </c>
      <c r="C59" t="s">
        <v>214</v>
      </c>
      <c r="D59">
        <v>42964</v>
      </c>
      <c r="E59" t="s">
        <v>218</v>
      </c>
      <c r="F59" t="s">
        <v>221</v>
      </c>
      <c r="G59" t="s">
        <v>226</v>
      </c>
      <c r="H59">
        <v>0</v>
      </c>
      <c r="I59" s="1">
        <v>45609</v>
      </c>
    </row>
    <row r="60" spans="1:9" x14ac:dyDescent="0.3">
      <c r="A60" t="s">
        <v>67</v>
      </c>
      <c r="B60" t="s">
        <v>210</v>
      </c>
      <c r="C60" t="s">
        <v>216</v>
      </c>
      <c r="D60">
        <v>8572</v>
      </c>
      <c r="E60" t="s">
        <v>217</v>
      </c>
      <c r="F60" t="s">
        <v>219</v>
      </c>
      <c r="G60" t="s">
        <v>225</v>
      </c>
      <c r="H60">
        <v>0</v>
      </c>
      <c r="I60" s="1">
        <v>45371</v>
      </c>
    </row>
    <row r="61" spans="1:9" x14ac:dyDescent="0.3">
      <c r="A61" t="s">
        <v>68</v>
      </c>
      <c r="B61" t="s">
        <v>211</v>
      </c>
      <c r="C61" t="s">
        <v>216</v>
      </c>
      <c r="D61">
        <v>49675</v>
      </c>
      <c r="E61" t="s">
        <v>218</v>
      </c>
      <c r="F61" t="s">
        <v>221</v>
      </c>
      <c r="G61" t="s">
        <v>224</v>
      </c>
      <c r="H61">
        <v>0</v>
      </c>
      <c r="I61" s="1">
        <v>45413</v>
      </c>
    </row>
    <row r="62" spans="1:9" x14ac:dyDescent="0.3">
      <c r="A62" t="s">
        <v>69</v>
      </c>
      <c r="B62" t="s">
        <v>209</v>
      </c>
      <c r="C62" t="s">
        <v>214</v>
      </c>
      <c r="D62">
        <v>23483</v>
      </c>
      <c r="E62" t="s">
        <v>217</v>
      </c>
      <c r="F62" t="s">
        <v>219</v>
      </c>
      <c r="G62" t="s">
        <v>224</v>
      </c>
      <c r="H62">
        <v>0</v>
      </c>
      <c r="I62" s="1">
        <v>45375</v>
      </c>
    </row>
    <row r="63" spans="1:9" x14ac:dyDescent="0.3">
      <c r="A63" t="s">
        <v>70</v>
      </c>
      <c r="B63" t="s">
        <v>210</v>
      </c>
      <c r="C63" t="s">
        <v>215</v>
      </c>
      <c r="D63">
        <v>4349</v>
      </c>
      <c r="E63" t="s">
        <v>217</v>
      </c>
      <c r="F63" t="s">
        <v>222</v>
      </c>
      <c r="G63" t="s">
        <v>226</v>
      </c>
      <c r="H63">
        <v>0</v>
      </c>
      <c r="I63" s="1">
        <v>45382</v>
      </c>
    </row>
    <row r="64" spans="1:9" x14ac:dyDescent="0.3">
      <c r="A64" t="s">
        <v>71</v>
      </c>
      <c r="B64" t="s">
        <v>211</v>
      </c>
      <c r="C64" t="s">
        <v>214</v>
      </c>
      <c r="D64">
        <v>47817</v>
      </c>
      <c r="E64" t="s">
        <v>218</v>
      </c>
      <c r="F64" t="s">
        <v>222</v>
      </c>
      <c r="G64" t="s">
        <v>225</v>
      </c>
      <c r="H64">
        <v>0</v>
      </c>
      <c r="I64" s="1">
        <v>45503</v>
      </c>
    </row>
    <row r="65" spans="1:9" x14ac:dyDescent="0.3">
      <c r="A65" t="s">
        <v>72</v>
      </c>
      <c r="B65" t="s">
        <v>211</v>
      </c>
      <c r="C65" t="s">
        <v>214</v>
      </c>
      <c r="D65">
        <v>34618</v>
      </c>
      <c r="E65" t="s">
        <v>217</v>
      </c>
      <c r="F65" t="s">
        <v>219</v>
      </c>
      <c r="G65" t="s">
        <v>224</v>
      </c>
      <c r="H65">
        <v>0</v>
      </c>
      <c r="I65" s="1">
        <v>45304</v>
      </c>
    </row>
    <row r="66" spans="1:9" x14ac:dyDescent="0.3">
      <c r="A66" t="s">
        <v>73</v>
      </c>
      <c r="B66" t="s">
        <v>209</v>
      </c>
      <c r="C66" t="s">
        <v>214</v>
      </c>
      <c r="D66">
        <v>18451</v>
      </c>
      <c r="E66" t="s">
        <v>218</v>
      </c>
      <c r="F66" t="s">
        <v>222</v>
      </c>
      <c r="G66" t="s">
        <v>223</v>
      </c>
      <c r="H66">
        <v>0</v>
      </c>
      <c r="I66" s="1">
        <v>45383</v>
      </c>
    </row>
    <row r="67" spans="1:9" x14ac:dyDescent="0.3">
      <c r="A67" t="s">
        <v>74</v>
      </c>
      <c r="B67" t="s">
        <v>211</v>
      </c>
      <c r="C67" t="s">
        <v>213</v>
      </c>
      <c r="D67">
        <v>4188</v>
      </c>
      <c r="E67" t="s">
        <v>218</v>
      </c>
      <c r="F67" t="s">
        <v>219</v>
      </c>
      <c r="G67" t="s">
        <v>224</v>
      </c>
      <c r="H67">
        <v>0</v>
      </c>
      <c r="I67" s="1">
        <v>45462</v>
      </c>
    </row>
    <row r="68" spans="1:9" x14ac:dyDescent="0.3">
      <c r="A68" t="s">
        <v>75</v>
      </c>
      <c r="B68" t="s">
        <v>210</v>
      </c>
      <c r="C68" t="s">
        <v>216</v>
      </c>
      <c r="D68">
        <v>15382</v>
      </c>
      <c r="E68" t="s">
        <v>217</v>
      </c>
      <c r="F68" t="s">
        <v>219</v>
      </c>
      <c r="G68" t="s">
        <v>226</v>
      </c>
      <c r="H68">
        <v>0</v>
      </c>
      <c r="I68" s="1">
        <v>45502</v>
      </c>
    </row>
    <row r="69" spans="1:9" x14ac:dyDescent="0.3">
      <c r="A69" t="s">
        <v>76</v>
      </c>
      <c r="B69" t="s">
        <v>211</v>
      </c>
      <c r="C69" t="s">
        <v>212</v>
      </c>
      <c r="D69">
        <v>19430</v>
      </c>
      <c r="E69" t="s">
        <v>218</v>
      </c>
      <c r="F69" t="s">
        <v>222</v>
      </c>
      <c r="G69" t="s">
        <v>225</v>
      </c>
      <c r="H69">
        <v>0</v>
      </c>
      <c r="I69" s="1">
        <v>45634</v>
      </c>
    </row>
    <row r="70" spans="1:9" x14ac:dyDescent="0.3">
      <c r="A70" t="s">
        <v>77</v>
      </c>
      <c r="B70" t="s">
        <v>210</v>
      </c>
      <c r="C70" t="s">
        <v>212</v>
      </c>
      <c r="D70">
        <v>42509</v>
      </c>
      <c r="E70" t="s">
        <v>217</v>
      </c>
      <c r="F70" t="s">
        <v>220</v>
      </c>
      <c r="G70" t="s">
        <v>226</v>
      </c>
      <c r="H70">
        <v>0</v>
      </c>
      <c r="I70" s="1">
        <v>45419</v>
      </c>
    </row>
    <row r="71" spans="1:9" x14ac:dyDescent="0.3">
      <c r="A71" t="s">
        <v>78</v>
      </c>
      <c r="B71" t="s">
        <v>211</v>
      </c>
      <c r="C71" t="s">
        <v>213</v>
      </c>
      <c r="D71">
        <v>21878</v>
      </c>
      <c r="E71" t="s">
        <v>217</v>
      </c>
      <c r="F71" t="s">
        <v>219</v>
      </c>
      <c r="G71" t="s">
        <v>223</v>
      </c>
      <c r="H71">
        <v>0</v>
      </c>
      <c r="I71" s="1">
        <v>45428</v>
      </c>
    </row>
    <row r="72" spans="1:9" x14ac:dyDescent="0.3">
      <c r="A72" t="s">
        <v>79</v>
      </c>
      <c r="B72" t="s">
        <v>209</v>
      </c>
      <c r="C72" t="s">
        <v>214</v>
      </c>
      <c r="D72">
        <v>24364</v>
      </c>
      <c r="E72" t="s">
        <v>218</v>
      </c>
      <c r="F72" t="s">
        <v>221</v>
      </c>
      <c r="G72" t="s">
        <v>223</v>
      </c>
      <c r="H72">
        <v>0</v>
      </c>
      <c r="I72" s="1">
        <v>45373</v>
      </c>
    </row>
    <row r="73" spans="1:9" x14ac:dyDescent="0.3">
      <c r="A73" t="s">
        <v>80</v>
      </c>
      <c r="B73" t="s">
        <v>210</v>
      </c>
      <c r="C73" t="s">
        <v>213</v>
      </c>
      <c r="D73">
        <v>5175</v>
      </c>
      <c r="E73" t="s">
        <v>217</v>
      </c>
      <c r="F73" t="s">
        <v>221</v>
      </c>
      <c r="G73" t="s">
        <v>223</v>
      </c>
      <c r="H73">
        <v>0</v>
      </c>
      <c r="I73" s="1">
        <v>45651</v>
      </c>
    </row>
    <row r="74" spans="1:9" x14ac:dyDescent="0.3">
      <c r="A74" t="s">
        <v>81</v>
      </c>
      <c r="B74" t="s">
        <v>211</v>
      </c>
      <c r="C74" t="s">
        <v>213</v>
      </c>
      <c r="D74">
        <v>10512</v>
      </c>
      <c r="E74" t="s">
        <v>218</v>
      </c>
      <c r="F74" t="s">
        <v>222</v>
      </c>
      <c r="G74" t="s">
        <v>226</v>
      </c>
      <c r="H74">
        <v>0</v>
      </c>
      <c r="I74" s="1">
        <v>45347</v>
      </c>
    </row>
    <row r="75" spans="1:9" x14ac:dyDescent="0.3">
      <c r="A75" t="s">
        <v>82</v>
      </c>
      <c r="B75" t="s">
        <v>211</v>
      </c>
      <c r="C75" t="s">
        <v>215</v>
      </c>
      <c r="D75">
        <v>48554</v>
      </c>
      <c r="E75" t="s">
        <v>217</v>
      </c>
      <c r="F75" t="s">
        <v>220</v>
      </c>
      <c r="G75" t="s">
        <v>224</v>
      </c>
      <c r="H75">
        <v>1</v>
      </c>
      <c r="I75" s="1">
        <v>45487</v>
      </c>
    </row>
    <row r="76" spans="1:9" x14ac:dyDescent="0.3">
      <c r="A76" t="s">
        <v>83</v>
      </c>
      <c r="B76" t="s">
        <v>211</v>
      </c>
      <c r="C76" t="s">
        <v>216</v>
      </c>
      <c r="D76">
        <v>28465</v>
      </c>
      <c r="E76" t="s">
        <v>217</v>
      </c>
      <c r="F76" t="s">
        <v>222</v>
      </c>
      <c r="G76" t="s">
        <v>226</v>
      </c>
      <c r="H76">
        <v>0</v>
      </c>
      <c r="I76" s="1">
        <v>45311</v>
      </c>
    </row>
    <row r="77" spans="1:9" x14ac:dyDescent="0.3">
      <c r="A77" t="s">
        <v>84</v>
      </c>
      <c r="B77" t="s">
        <v>210</v>
      </c>
      <c r="C77" t="s">
        <v>212</v>
      </c>
      <c r="D77">
        <v>7330</v>
      </c>
      <c r="E77" t="s">
        <v>217</v>
      </c>
      <c r="F77" t="s">
        <v>220</v>
      </c>
      <c r="G77" t="s">
        <v>225</v>
      </c>
      <c r="H77">
        <v>0</v>
      </c>
      <c r="I77" s="1">
        <v>45532</v>
      </c>
    </row>
    <row r="78" spans="1:9" x14ac:dyDescent="0.3">
      <c r="A78" t="s">
        <v>85</v>
      </c>
      <c r="B78" t="s">
        <v>210</v>
      </c>
      <c r="C78" t="s">
        <v>214</v>
      </c>
      <c r="D78">
        <v>48300</v>
      </c>
      <c r="E78" t="s">
        <v>217</v>
      </c>
      <c r="F78" t="s">
        <v>219</v>
      </c>
      <c r="G78" t="s">
        <v>224</v>
      </c>
      <c r="H78">
        <v>1</v>
      </c>
      <c r="I78" s="1">
        <v>45405</v>
      </c>
    </row>
    <row r="79" spans="1:9" x14ac:dyDescent="0.3">
      <c r="A79" t="s">
        <v>86</v>
      </c>
      <c r="B79" t="s">
        <v>210</v>
      </c>
      <c r="C79" t="s">
        <v>212</v>
      </c>
      <c r="D79">
        <v>11102</v>
      </c>
      <c r="E79" t="s">
        <v>217</v>
      </c>
      <c r="F79" t="s">
        <v>219</v>
      </c>
      <c r="G79" t="s">
        <v>223</v>
      </c>
      <c r="H79">
        <v>0</v>
      </c>
      <c r="I79" s="1">
        <v>45394</v>
      </c>
    </row>
    <row r="80" spans="1:9" x14ac:dyDescent="0.3">
      <c r="A80" t="s">
        <v>87</v>
      </c>
      <c r="B80" t="s">
        <v>209</v>
      </c>
      <c r="C80" t="s">
        <v>212</v>
      </c>
      <c r="D80">
        <v>14047</v>
      </c>
      <c r="E80" t="s">
        <v>218</v>
      </c>
      <c r="F80" t="s">
        <v>219</v>
      </c>
      <c r="G80" t="s">
        <v>226</v>
      </c>
      <c r="H80">
        <v>0</v>
      </c>
      <c r="I80" s="1">
        <v>45527</v>
      </c>
    </row>
    <row r="81" spans="1:9" x14ac:dyDescent="0.3">
      <c r="A81" t="s">
        <v>88</v>
      </c>
      <c r="B81" t="s">
        <v>209</v>
      </c>
      <c r="C81" t="s">
        <v>216</v>
      </c>
      <c r="D81">
        <v>13786</v>
      </c>
      <c r="E81" t="s">
        <v>218</v>
      </c>
      <c r="F81" t="s">
        <v>219</v>
      </c>
      <c r="G81" t="s">
        <v>223</v>
      </c>
      <c r="H81">
        <v>0</v>
      </c>
      <c r="I81" s="1">
        <v>45471</v>
      </c>
    </row>
    <row r="82" spans="1:9" x14ac:dyDescent="0.3">
      <c r="A82" t="s">
        <v>89</v>
      </c>
      <c r="B82" t="s">
        <v>210</v>
      </c>
      <c r="C82" t="s">
        <v>212</v>
      </c>
      <c r="D82">
        <v>29404</v>
      </c>
      <c r="E82" t="s">
        <v>218</v>
      </c>
      <c r="F82" t="s">
        <v>221</v>
      </c>
      <c r="G82" t="s">
        <v>223</v>
      </c>
      <c r="H82">
        <v>0</v>
      </c>
      <c r="I82" s="1">
        <v>45448</v>
      </c>
    </row>
    <row r="83" spans="1:9" x14ac:dyDescent="0.3">
      <c r="A83" t="s">
        <v>90</v>
      </c>
      <c r="B83" t="s">
        <v>211</v>
      </c>
      <c r="C83" t="s">
        <v>212</v>
      </c>
      <c r="D83">
        <v>13174</v>
      </c>
      <c r="E83" t="s">
        <v>218</v>
      </c>
      <c r="F83" t="s">
        <v>221</v>
      </c>
      <c r="G83" t="s">
        <v>225</v>
      </c>
      <c r="H83">
        <v>0</v>
      </c>
      <c r="I83" s="1">
        <v>45408</v>
      </c>
    </row>
    <row r="84" spans="1:9" x14ac:dyDescent="0.3">
      <c r="A84" t="s">
        <v>91</v>
      </c>
      <c r="B84" t="s">
        <v>209</v>
      </c>
      <c r="C84" t="s">
        <v>213</v>
      </c>
      <c r="D84">
        <v>4593</v>
      </c>
      <c r="E84" t="s">
        <v>218</v>
      </c>
      <c r="F84" t="s">
        <v>222</v>
      </c>
      <c r="G84" t="s">
        <v>224</v>
      </c>
      <c r="H84">
        <v>0</v>
      </c>
      <c r="I84" s="1">
        <v>45406</v>
      </c>
    </row>
    <row r="85" spans="1:9" x14ac:dyDescent="0.3">
      <c r="A85" t="s">
        <v>92</v>
      </c>
      <c r="B85" t="s">
        <v>210</v>
      </c>
      <c r="C85" t="s">
        <v>216</v>
      </c>
      <c r="D85">
        <v>34328</v>
      </c>
      <c r="E85" t="s">
        <v>218</v>
      </c>
      <c r="F85" t="s">
        <v>220</v>
      </c>
      <c r="G85" t="s">
        <v>225</v>
      </c>
      <c r="H85">
        <v>0</v>
      </c>
      <c r="I85" s="1">
        <v>45304</v>
      </c>
    </row>
    <row r="86" spans="1:9" x14ac:dyDescent="0.3">
      <c r="A86" t="s">
        <v>93</v>
      </c>
      <c r="B86" t="s">
        <v>211</v>
      </c>
      <c r="C86" t="s">
        <v>215</v>
      </c>
      <c r="D86">
        <v>14240</v>
      </c>
      <c r="E86" t="s">
        <v>217</v>
      </c>
      <c r="F86" t="s">
        <v>219</v>
      </c>
      <c r="G86" t="s">
        <v>225</v>
      </c>
      <c r="H86">
        <v>0</v>
      </c>
      <c r="I86" s="1">
        <v>45629</v>
      </c>
    </row>
    <row r="87" spans="1:9" x14ac:dyDescent="0.3">
      <c r="A87" t="s">
        <v>94</v>
      </c>
      <c r="B87" t="s">
        <v>209</v>
      </c>
      <c r="C87" t="s">
        <v>214</v>
      </c>
      <c r="D87">
        <v>31755</v>
      </c>
      <c r="E87" t="s">
        <v>217</v>
      </c>
      <c r="F87" t="s">
        <v>219</v>
      </c>
      <c r="G87" t="s">
        <v>225</v>
      </c>
      <c r="H87">
        <v>0</v>
      </c>
      <c r="I87" s="1">
        <v>45390</v>
      </c>
    </row>
    <row r="88" spans="1:9" x14ac:dyDescent="0.3">
      <c r="A88" t="s">
        <v>95</v>
      </c>
      <c r="B88" t="s">
        <v>211</v>
      </c>
      <c r="C88" t="s">
        <v>212</v>
      </c>
      <c r="D88">
        <v>43572</v>
      </c>
      <c r="E88" t="s">
        <v>218</v>
      </c>
      <c r="F88" t="s">
        <v>220</v>
      </c>
      <c r="G88" t="s">
        <v>223</v>
      </c>
      <c r="H88">
        <v>0</v>
      </c>
      <c r="I88" s="1">
        <v>45496</v>
      </c>
    </row>
    <row r="89" spans="1:9" x14ac:dyDescent="0.3">
      <c r="A89" t="s">
        <v>96</v>
      </c>
      <c r="B89" t="s">
        <v>211</v>
      </c>
      <c r="C89" t="s">
        <v>214</v>
      </c>
      <c r="D89">
        <v>49537</v>
      </c>
      <c r="E89" t="s">
        <v>218</v>
      </c>
      <c r="F89" t="s">
        <v>220</v>
      </c>
      <c r="G89" t="s">
        <v>225</v>
      </c>
      <c r="H89">
        <v>0</v>
      </c>
      <c r="I89" s="1">
        <v>45460</v>
      </c>
    </row>
    <row r="90" spans="1:9" x14ac:dyDescent="0.3">
      <c r="A90" t="s">
        <v>97</v>
      </c>
      <c r="B90" t="s">
        <v>211</v>
      </c>
      <c r="C90" t="s">
        <v>215</v>
      </c>
      <c r="D90">
        <v>49516</v>
      </c>
      <c r="E90" t="s">
        <v>217</v>
      </c>
      <c r="F90" t="s">
        <v>222</v>
      </c>
      <c r="G90" t="s">
        <v>225</v>
      </c>
      <c r="H90">
        <v>0</v>
      </c>
      <c r="I90" s="1">
        <v>45434</v>
      </c>
    </row>
    <row r="91" spans="1:9" x14ac:dyDescent="0.3">
      <c r="A91" t="s">
        <v>98</v>
      </c>
      <c r="B91" t="s">
        <v>211</v>
      </c>
      <c r="C91" t="s">
        <v>214</v>
      </c>
      <c r="D91">
        <v>6916</v>
      </c>
      <c r="E91" t="s">
        <v>217</v>
      </c>
      <c r="F91" t="s">
        <v>220</v>
      </c>
      <c r="G91" t="s">
        <v>224</v>
      </c>
      <c r="H91">
        <v>0</v>
      </c>
      <c r="I91" s="1">
        <v>45327</v>
      </c>
    </row>
    <row r="92" spans="1:9" x14ac:dyDescent="0.3">
      <c r="A92" t="s">
        <v>99</v>
      </c>
      <c r="B92" t="s">
        <v>209</v>
      </c>
      <c r="C92" t="s">
        <v>215</v>
      </c>
      <c r="D92">
        <v>11739</v>
      </c>
      <c r="E92" t="s">
        <v>217</v>
      </c>
      <c r="F92" t="s">
        <v>219</v>
      </c>
      <c r="G92" t="s">
        <v>224</v>
      </c>
      <c r="H92">
        <v>1</v>
      </c>
      <c r="I92" s="1">
        <v>45434</v>
      </c>
    </row>
    <row r="93" spans="1:9" x14ac:dyDescent="0.3">
      <c r="A93" t="s">
        <v>100</v>
      </c>
      <c r="B93" t="s">
        <v>209</v>
      </c>
      <c r="C93" t="s">
        <v>213</v>
      </c>
      <c r="D93">
        <v>47292</v>
      </c>
      <c r="E93" t="s">
        <v>218</v>
      </c>
      <c r="F93" t="s">
        <v>219</v>
      </c>
      <c r="G93" t="s">
        <v>225</v>
      </c>
      <c r="H93">
        <v>0</v>
      </c>
      <c r="I93" s="1">
        <v>45471</v>
      </c>
    </row>
    <row r="94" spans="1:9" x14ac:dyDescent="0.3">
      <c r="A94" t="s">
        <v>101</v>
      </c>
      <c r="B94" t="s">
        <v>209</v>
      </c>
      <c r="C94" t="s">
        <v>212</v>
      </c>
      <c r="D94">
        <v>46833</v>
      </c>
      <c r="E94" t="s">
        <v>218</v>
      </c>
      <c r="F94" t="s">
        <v>219</v>
      </c>
      <c r="G94" t="s">
        <v>224</v>
      </c>
      <c r="H94">
        <v>0</v>
      </c>
      <c r="I94" s="1">
        <v>45620</v>
      </c>
    </row>
    <row r="95" spans="1:9" x14ac:dyDescent="0.3">
      <c r="A95" t="s">
        <v>102</v>
      </c>
      <c r="B95" t="s">
        <v>210</v>
      </c>
      <c r="C95" t="s">
        <v>215</v>
      </c>
      <c r="D95">
        <v>29592</v>
      </c>
      <c r="E95" t="s">
        <v>218</v>
      </c>
      <c r="F95" t="s">
        <v>219</v>
      </c>
      <c r="G95" t="s">
        <v>224</v>
      </c>
      <c r="H95">
        <v>1</v>
      </c>
      <c r="I95" s="1">
        <v>45552</v>
      </c>
    </row>
    <row r="96" spans="1:9" x14ac:dyDescent="0.3">
      <c r="A96" t="s">
        <v>103</v>
      </c>
      <c r="B96" t="s">
        <v>209</v>
      </c>
      <c r="C96" t="s">
        <v>214</v>
      </c>
      <c r="D96">
        <v>11340</v>
      </c>
      <c r="E96" t="s">
        <v>217</v>
      </c>
      <c r="F96" t="s">
        <v>219</v>
      </c>
      <c r="G96" t="s">
        <v>225</v>
      </c>
      <c r="H96">
        <v>0</v>
      </c>
      <c r="I96" s="1">
        <v>45496</v>
      </c>
    </row>
    <row r="97" spans="1:9" x14ac:dyDescent="0.3">
      <c r="A97" t="s">
        <v>104</v>
      </c>
      <c r="B97" t="s">
        <v>211</v>
      </c>
      <c r="C97" t="s">
        <v>212</v>
      </c>
      <c r="D97">
        <v>32798</v>
      </c>
      <c r="E97" t="s">
        <v>217</v>
      </c>
      <c r="F97" t="s">
        <v>222</v>
      </c>
      <c r="G97" t="s">
        <v>223</v>
      </c>
      <c r="H97">
        <v>0</v>
      </c>
      <c r="I97" s="1">
        <v>45639</v>
      </c>
    </row>
    <row r="98" spans="1:9" x14ac:dyDescent="0.3">
      <c r="A98" t="s">
        <v>105</v>
      </c>
      <c r="B98" t="s">
        <v>209</v>
      </c>
      <c r="C98" t="s">
        <v>213</v>
      </c>
      <c r="D98">
        <v>27057</v>
      </c>
      <c r="E98" t="s">
        <v>218</v>
      </c>
      <c r="F98" t="s">
        <v>219</v>
      </c>
      <c r="G98" t="s">
        <v>225</v>
      </c>
      <c r="H98">
        <v>0</v>
      </c>
      <c r="I98" s="1">
        <v>45566</v>
      </c>
    </row>
    <row r="99" spans="1:9" x14ac:dyDescent="0.3">
      <c r="A99" t="s">
        <v>106</v>
      </c>
      <c r="B99" t="s">
        <v>211</v>
      </c>
      <c r="C99" t="s">
        <v>212</v>
      </c>
      <c r="D99">
        <v>32908</v>
      </c>
      <c r="E99" t="s">
        <v>218</v>
      </c>
      <c r="F99" t="s">
        <v>222</v>
      </c>
      <c r="G99" t="s">
        <v>224</v>
      </c>
      <c r="H99">
        <v>1</v>
      </c>
      <c r="I99" s="1">
        <v>45461</v>
      </c>
    </row>
    <row r="100" spans="1:9" x14ac:dyDescent="0.3">
      <c r="A100" t="s">
        <v>107</v>
      </c>
      <c r="B100" t="s">
        <v>210</v>
      </c>
      <c r="C100" t="s">
        <v>215</v>
      </c>
      <c r="D100">
        <v>5927</v>
      </c>
      <c r="E100" t="s">
        <v>217</v>
      </c>
      <c r="F100" t="s">
        <v>219</v>
      </c>
      <c r="G100" t="s">
        <v>223</v>
      </c>
      <c r="H100">
        <v>0</v>
      </c>
      <c r="I100" s="1">
        <v>45306</v>
      </c>
    </row>
    <row r="101" spans="1:9" x14ac:dyDescent="0.3">
      <c r="A101" t="s">
        <v>108</v>
      </c>
      <c r="B101" t="s">
        <v>211</v>
      </c>
      <c r="C101" t="s">
        <v>213</v>
      </c>
      <c r="D101">
        <v>32862</v>
      </c>
      <c r="E101" t="s">
        <v>217</v>
      </c>
      <c r="F101" t="s">
        <v>221</v>
      </c>
      <c r="G101" t="s">
        <v>226</v>
      </c>
      <c r="H101">
        <v>0</v>
      </c>
      <c r="I101" s="1">
        <v>45351</v>
      </c>
    </row>
    <row r="102" spans="1:9" x14ac:dyDescent="0.3">
      <c r="A102" t="s">
        <v>109</v>
      </c>
      <c r="B102" t="s">
        <v>211</v>
      </c>
      <c r="C102" t="s">
        <v>214</v>
      </c>
      <c r="D102">
        <v>8359</v>
      </c>
      <c r="E102" t="s">
        <v>217</v>
      </c>
      <c r="F102" t="s">
        <v>221</v>
      </c>
      <c r="G102" t="s">
        <v>223</v>
      </c>
      <c r="H102">
        <v>0</v>
      </c>
      <c r="I102" s="1">
        <v>45425</v>
      </c>
    </row>
    <row r="103" spans="1:9" x14ac:dyDescent="0.3">
      <c r="A103" t="s">
        <v>110</v>
      </c>
      <c r="B103" t="s">
        <v>211</v>
      </c>
      <c r="C103" t="s">
        <v>213</v>
      </c>
      <c r="D103">
        <v>14949</v>
      </c>
      <c r="E103" t="s">
        <v>217</v>
      </c>
      <c r="F103" t="s">
        <v>221</v>
      </c>
      <c r="G103" t="s">
        <v>224</v>
      </c>
      <c r="H103">
        <v>0</v>
      </c>
      <c r="I103" s="1">
        <v>45383</v>
      </c>
    </row>
    <row r="104" spans="1:9" x14ac:dyDescent="0.3">
      <c r="A104" t="s">
        <v>111</v>
      </c>
      <c r="B104" t="s">
        <v>210</v>
      </c>
      <c r="C104" t="s">
        <v>213</v>
      </c>
      <c r="D104">
        <v>16332</v>
      </c>
      <c r="E104" t="s">
        <v>218</v>
      </c>
      <c r="F104" t="s">
        <v>221</v>
      </c>
      <c r="G104" t="s">
        <v>223</v>
      </c>
      <c r="H104">
        <v>0</v>
      </c>
      <c r="I104" s="1">
        <v>45589</v>
      </c>
    </row>
    <row r="105" spans="1:9" x14ac:dyDescent="0.3">
      <c r="A105" t="s">
        <v>112</v>
      </c>
      <c r="B105" t="s">
        <v>209</v>
      </c>
      <c r="C105" t="s">
        <v>216</v>
      </c>
      <c r="D105">
        <v>40672</v>
      </c>
      <c r="E105" t="s">
        <v>217</v>
      </c>
      <c r="F105" t="s">
        <v>222</v>
      </c>
      <c r="G105" t="s">
        <v>225</v>
      </c>
      <c r="H105">
        <v>0</v>
      </c>
      <c r="I105" s="1">
        <v>45427</v>
      </c>
    </row>
    <row r="106" spans="1:9" x14ac:dyDescent="0.3">
      <c r="A106" t="s">
        <v>113</v>
      </c>
      <c r="B106" t="s">
        <v>209</v>
      </c>
      <c r="C106" t="s">
        <v>213</v>
      </c>
      <c r="D106">
        <v>24273</v>
      </c>
      <c r="E106" t="s">
        <v>217</v>
      </c>
      <c r="F106" t="s">
        <v>222</v>
      </c>
      <c r="G106" t="s">
        <v>226</v>
      </c>
      <c r="H106">
        <v>0</v>
      </c>
      <c r="I106" s="1">
        <v>45311</v>
      </c>
    </row>
    <row r="107" spans="1:9" x14ac:dyDescent="0.3">
      <c r="A107" t="s">
        <v>114</v>
      </c>
      <c r="B107" t="s">
        <v>210</v>
      </c>
      <c r="C107" t="s">
        <v>213</v>
      </c>
      <c r="D107">
        <v>5474</v>
      </c>
      <c r="E107" t="s">
        <v>217</v>
      </c>
      <c r="F107" t="s">
        <v>220</v>
      </c>
      <c r="G107" t="s">
        <v>226</v>
      </c>
      <c r="H107">
        <v>0</v>
      </c>
      <c r="I107" s="1">
        <v>45347</v>
      </c>
    </row>
    <row r="108" spans="1:9" x14ac:dyDescent="0.3">
      <c r="A108" t="s">
        <v>115</v>
      </c>
      <c r="B108" t="s">
        <v>211</v>
      </c>
      <c r="C108" t="s">
        <v>212</v>
      </c>
      <c r="D108">
        <v>21274</v>
      </c>
      <c r="E108" t="s">
        <v>218</v>
      </c>
      <c r="F108" t="s">
        <v>219</v>
      </c>
      <c r="G108" t="s">
        <v>226</v>
      </c>
      <c r="H108">
        <v>0</v>
      </c>
      <c r="I108" s="1">
        <v>45597</v>
      </c>
    </row>
    <row r="109" spans="1:9" x14ac:dyDescent="0.3">
      <c r="A109" t="s">
        <v>116</v>
      </c>
      <c r="B109" t="s">
        <v>209</v>
      </c>
      <c r="C109" t="s">
        <v>214</v>
      </c>
      <c r="D109">
        <v>23667</v>
      </c>
      <c r="E109" t="s">
        <v>218</v>
      </c>
      <c r="F109" t="s">
        <v>221</v>
      </c>
      <c r="G109" t="s">
        <v>224</v>
      </c>
      <c r="H109">
        <v>0</v>
      </c>
      <c r="I109" s="1">
        <v>45514</v>
      </c>
    </row>
    <row r="110" spans="1:9" x14ac:dyDescent="0.3">
      <c r="A110" t="s">
        <v>117</v>
      </c>
      <c r="B110" t="s">
        <v>210</v>
      </c>
      <c r="C110" t="s">
        <v>212</v>
      </c>
      <c r="D110">
        <v>35392</v>
      </c>
      <c r="E110" t="s">
        <v>217</v>
      </c>
      <c r="F110" t="s">
        <v>222</v>
      </c>
      <c r="G110" t="s">
        <v>224</v>
      </c>
      <c r="H110">
        <v>0</v>
      </c>
      <c r="I110" s="1">
        <v>45468</v>
      </c>
    </row>
    <row r="111" spans="1:9" x14ac:dyDescent="0.3">
      <c r="A111" t="s">
        <v>118</v>
      </c>
      <c r="B111" t="s">
        <v>209</v>
      </c>
      <c r="C111" t="s">
        <v>212</v>
      </c>
      <c r="D111">
        <v>9377</v>
      </c>
      <c r="E111" t="s">
        <v>217</v>
      </c>
      <c r="F111" t="s">
        <v>219</v>
      </c>
      <c r="G111" t="s">
        <v>226</v>
      </c>
      <c r="H111">
        <v>0</v>
      </c>
      <c r="I111" s="1">
        <v>45452</v>
      </c>
    </row>
    <row r="112" spans="1:9" x14ac:dyDescent="0.3">
      <c r="A112" t="s">
        <v>119</v>
      </c>
      <c r="B112" t="s">
        <v>210</v>
      </c>
      <c r="C112" t="s">
        <v>215</v>
      </c>
      <c r="D112">
        <v>31700</v>
      </c>
      <c r="E112" t="s">
        <v>217</v>
      </c>
      <c r="F112" t="s">
        <v>219</v>
      </c>
      <c r="G112" t="s">
        <v>223</v>
      </c>
      <c r="H112">
        <v>0</v>
      </c>
      <c r="I112" s="1">
        <v>45515</v>
      </c>
    </row>
    <row r="113" spans="1:9" x14ac:dyDescent="0.3">
      <c r="A113" t="s">
        <v>120</v>
      </c>
      <c r="B113" t="s">
        <v>211</v>
      </c>
      <c r="C113" t="s">
        <v>212</v>
      </c>
      <c r="D113">
        <v>9985</v>
      </c>
      <c r="E113" t="s">
        <v>218</v>
      </c>
      <c r="F113" t="s">
        <v>222</v>
      </c>
      <c r="G113" t="s">
        <v>226</v>
      </c>
      <c r="H113">
        <v>0</v>
      </c>
      <c r="I113" s="1">
        <v>45602</v>
      </c>
    </row>
    <row r="114" spans="1:9" x14ac:dyDescent="0.3">
      <c r="A114" t="s">
        <v>121</v>
      </c>
      <c r="B114" t="s">
        <v>209</v>
      </c>
      <c r="C114" t="s">
        <v>216</v>
      </c>
      <c r="D114">
        <v>878</v>
      </c>
      <c r="E114" t="s">
        <v>218</v>
      </c>
      <c r="F114" t="s">
        <v>221</v>
      </c>
      <c r="G114" t="s">
        <v>223</v>
      </c>
      <c r="H114">
        <v>0</v>
      </c>
      <c r="I114" s="1">
        <v>45553</v>
      </c>
    </row>
    <row r="115" spans="1:9" x14ac:dyDescent="0.3">
      <c r="A115" t="s">
        <v>122</v>
      </c>
      <c r="B115" t="s">
        <v>210</v>
      </c>
      <c r="C115" t="s">
        <v>216</v>
      </c>
      <c r="D115">
        <v>29265</v>
      </c>
      <c r="E115" t="s">
        <v>218</v>
      </c>
      <c r="F115" t="s">
        <v>220</v>
      </c>
      <c r="G115" t="s">
        <v>223</v>
      </c>
      <c r="H115">
        <v>0</v>
      </c>
      <c r="I115" s="1">
        <v>45351</v>
      </c>
    </row>
    <row r="116" spans="1:9" x14ac:dyDescent="0.3">
      <c r="A116" t="s">
        <v>123</v>
      </c>
      <c r="B116" t="s">
        <v>209</v>
      </c>
      <c r="C116" t="s">
        <v>215</v>
      </c>
      <c r="D116">
        <v>1592</v>
      </c>
      <c r="E116" t="s">
        <v>217</v>
      </c>
      <c r="F116" t="s">
        <v>219</v>
      </c>
      <c r="G116" t="s">
        <v>224</v>
      </c>
      <c r="H116">
        <v>0</v>
      </c>
      <c r="I116" s="1">
        <v>45489</v>
      </c>
    </row>
    <row r="117" spans="1:9" x14ac:dyDescent="0.3">
      <c r="A117" t="s">
        <v>124</v>
      </c>
      <c r="B117" t="s">
        <v>209</v>
      </c>
      <c r="C117" t="s">
        <v>214</v>
      </c>
      <c r="D117">
        <v>30562</v>
      </c>
      <c r="E117" t="s">
        <v>218</v>
      </c>
      <c r="F117" t="s">
        <v>220</v>
      </c>
      <c r="G117" t="s">
        <v>223</v>
      </c>
      <c r="H117">
        <v>0</v>
      </c>
      <c r="I117" s="1">
        <v>45587</v>
      </c>
    </row>
    <row r="118" spans="1:9" x14ac:dyDescent="0.3">
      <c r="A118" t="s">
        <v>125</v>
      </c>
      <c r="B118" t="s">
        <v>209</v>
      </c>
      <c r="C118" t="s">
        <v>214</v>
      </c>
      <c r="D118">
        <v>49912</v>
      </c>
      <c r="E118" t="s">
        <v>217</v>
      </c>
      <c r="F118" t="s">
        <v>221</v>
      </c>
      <c r="G118" t="s">
        <v>226</v>
      </c>
      <c r="H118">
        <v>0</v>
      </c>
      <c r="I118" s="1">
        <v>45389</v>
      </c>
    </row>
    <row r="119" spans="1:9" x14ac:dyDescent="0.3">
      <c r="A119" t="s">
        <v>126</v>
      </c>
      <c r="B119" t="s">
        <v>209</v>
      </c>
      <c r="C119" t="s">
        <v>212</v>
      </c>
      <c r="D119">
        <v>13715</v>
      </c>
      <c r="E119" t="s">
        <v>217</v>
      </c>
      <c r="F119" t="s">
        <v>221</v>
      </c>
      <c r="G119" t="s">
        <v>224</v>
      </c>
      <c r="H119">
        <v>0</v>
      </c>
      <c r="I119" s="1">
        <v>45422</v>
      </c>
    </row>
    <row r="120" spans="1:9" x14ac:dyDescent="0.3">
      <c r="A120" t="s">
        <v>127</v>
      </c>
      <c r="B120" t="s">
        <v>210</v>
      </c>
      <c r="C120" t="s">
        <v>212</v>
      </c>
      <c r="D120">
        <v>45000</v>
      </c>
      <c r="E120" t="s">
        <v>217</v>
      </c>
      <c r="F120" t="s">
        <v>220</v>
      </c>
      <c r="G120" t="s">
        <v>225</v>
      </c>
      <c r="H120">
        <v>0</v>
      </c>
      <c r="I120" s="1">
        <v>45314</v>
      </c>
    </row>
    <row r="121" spans="1:9" x14ac:dyDescent="0.3">
      <c r="A121" t="s">
        <v>128</v>
      </c>
      <c r="B121" t="s">
        <v>211</v>
      </c>
      <c r="C121" t="s">
        <v>212</v>
      </c>
      <c r="D121">
        <v>43046</v>
      </c>
      <c r="E121" t="s">
        <v>218</v>
      </c>
      <c r="F121" t="s">
        <v>221</v>
      </c>
      <c r="G121" t="s">
        <v>225</v>
      </c>
      <c r="H121">
        <v>0</v>
      </c>
      <c r="I121" s="1">
        <v>45654</v>
      </c>
    </row>
    <row r="122" spans="1:9" x14ac:dyDescent="0.3">
      <c r="A122" t="s">
        <v>129</v>
      </c>
      <c r="B122" t="s">
        <v>210</v>
      </c>
      <c r="C122" t="s">
        <v>214</v>
      </c>
      <c r="D122">
        <v>7951</v>
      </c>
      <c r="E122" t="s">
        <v>217</v>
      </c>
      <c r="F122" t="s">
        <v>219</v>
      </c>
      <c r="G122" t="s">
        <v>224</v>
      </c>
      <c r="H122">
        <v>0</v>
      </c>
      <c r="I122" s="1">
        <v>45515</v>
      </c>
    </row>
    <row r="123" spans="1:9" x14ac:dyDescent="0.3">
      <c r="A123" t="s">
        <v>130</v>
      </c>
      <c r="B123" t="s">
        <v>210</v>
      </c>
      <c r="C123" t="s">
        <v>213</v>
      </c>
      <c r="D123">
        <v>16388</v>
      </c>
      <c r="E123" t="s">
        <v>218</v>
      </c>
      <c r="F123" t="s">
        <v>220</v>
      </c>
      <c r="G123" t="s">
        <v>226</v>
      </c>
      <c r="H123">
        <v>0</v>
      </c>
      <c r="I123" s="1">
        <v>45292</v>
      </c>
    </row>
    <row r="124" spans="1:9" x14ac:dyDescent="0.3">
      <c r="A124" t="s">
        <v>131</v>
      </c>
      <c r="B124" t="s">
        <v>210</v>
      </c>
      <c r="C124" t="s">
        <v>216</v>
      </c>
      <c r="D124">
        <v>7256</v>
      </c>
      <c r="E124" t="s">
        <v>218</v>
      </c>
      <c r="F124" t="s">
        <v>221</v>
      </c>
      <c r="G124" t="s">
        <v>225</v>
      </c>
      <c r="H124">
        <v>0</v>
      </c>
      <c r="I124" s="1">
        <v>45558</v>
      </c>
    </row>
    <row r="125" spans="1:9" x14ac:dyDescent="0.3">
      <c r="A125" t="s">
        <v>132</v>
      </c>
      <c r="B125" t="s">
        <v>211</v>
      </c>
      <c r="C125" t="s">
        <v>213</v>
      </c>
      <c r="D125">
        <v>2144</v>
      </c>
      <c r="E125" t="s">
        <v>217</v>
      </c>
      <c r="F125" t="s">
        <v>220</v>
      </c>
      <c r="G125" t="s">
        <v>225</v>
      </c>
      <c r="H125">
        <v>0</v>
      </c>
      <c r="I125" s="1">
        <v>45567</v>
      </c>
    </row>
    <row r="126" spans="1:9" x14ac:dyDescent="0.3">
      <c r="A126" t="s">
        <v>133</v>
      </c>
      <c r="B126" t="s">
        <v>209</v>
      </c>
      <c r="C126" t="s">
        <v>213</v>
      </c>
      <c r="D126">
        <v>7468</v>
      </c>
      <c r="E126" t="s">
        <v>217</v>
      </c>
      <c r="F126" t="s">
        <v>219</v>
      </c>
      <c r="G126" t="s">
        <v>223</v>
      </c>
      <c r="H126">
        <v>0</v>
      </c>
      <c r="I126" s="1">
        <v>45643</v>
      </c>
    </row>
    <row r="127" spans="1:9" x14ac:dyDescent="0.3">
      <c r="A127" t="s">
        <v>134</v>
      </c>
      <c r="B127" t="s">
        <v>209</v>
      </c>
      <c r="C127" t="s">
        <v>214</v>
      </c>
      <c r="D127">
        <v>20000</v>
      </c>
      <c r="E127" t="s">
        <v>218</v>
      </c>
      <c r="F127" t="s">
        <v>221</v>
      </c>
      <c r="G127" t="s">
        <v>223</v>
      </c>
      <c r="H127">
        <v>0</v>
      </c>
      <c r="I127" s="1">
        <v>45635</v>
      </c>
    </row>
    <row r="128" spans="1:9" x14ac:dyDescent="0.3">
      <c r="A128" t="s">
        <v>135</v>
      </c>
      <c r="B128" t="s">
        <v>209</v>
      </c>
      <c r="C128" t="s">
        <v>213</v>
      </c>
      <c r="D128">
        <v>30700</v>
      </c>
      <c r="E128" t="s">
        <v>217</v>
      </c>
      <c r="F128" t="s">
        <v>219</v>
      </c>
      <c r="G128" t="s">
        <v>226</v>
      </c>
      <c r="H128">
        <v>0</v>
      </c>
      <c r="I128" s="1">
        <v>45392</v>
      </c>
    </row>
    <row r="129" spans="1:9" x14ac:dyDescent="0.3">
      <c r="A129" t="s">
        <v>136</v>
      </c>
      <c r="B129" t="s">
        <v>211</v>
      </c>
      <c r="C129" t="s">
        <v>215</v>
      </c>
      <c r="D129">
        <v>46503</v>
      </c>
      <c r="E129" t="s">
        <v>218</v>
      </c>
      <c r="F129" t="s">
        <v>221</v>
      </c>
      <c r="G129" t="s">
        <v>224</v>
      </c>
      <c r="H129">
        <v>0</v>
      </c>
      <c r="I129" s="1">
        <v>45478</v>
      </c>
    </row>
    <row r="130" spans="1:9" x14ac:dyDescent="0.3">
      <c r="A130" t="s">
        <v>137</v>
      </c>
      <c r="B130" t="s">
        <v>209</v>
      </c>
      <c r="C130" t="s">
        <v>212</v>
      </c>
      <c r="D130">
        <v>25734</v>
      </c>
      <c r="E130" t="s">
        <v>217</v>
      </c>
      <c r="F130" t="s">
        <v>222</v>
      </c>
      <c r="G130" t="s">
        <v>226</v>
      </c>
      <c r="H130">
        <v>0</v>
      </c>
      <c r="I130" s="1">
        <v>45512</v>
      </c>
    </row>
    <row r="131" spans="1:9" x14ac:dyDescent="0.3">
      <c r="A131" t="s">
        <v>138</v>
      </c>
      <c r="B131" t="s">
        <v>211</v>
      </c>
      <c r="C131" t="s">
        <v>215</v>
      </c>
      <c r="D131">
        <v>9268</v>
      </c>
      <c r="E131" t="s">
        <v>218</v>
      </c>
      <c r="F131" t="s">
        <v>221</v>
      </c>
      <c r="G131" t="s">
        <v>224</v>
      </c>
      <c r="H131">
        <v>0</v>
      </c>
      <c r="I131" s="1">
        <v>45327</v>
      </c>
    </row>
    <row r="132" spans="1:9" x14ac:dyDescent="0.3">
      <c r="A132" t="s">
        <v>139</v>
      </c>
      <c r="B132" t="s">
        <v>209</v>
      </c>
      <c r="C132" t="s">
        <v>216</v>
      </c>
      <c r="D132">
        <v>21061</v>
      </c>
      <c r="E132" t="s">
        <v>218</v>
      </c>
      <c r="F132" t="s">
        <v>220</v>
      </c>
      <c r="G132" t="s">
        <v>225</v>
      </c>
      <c r="H132">
        <v>0</v>
      </c>
      <c r="I132" s="1">
        <v>45632</v>
      </c>
    </row>
    <row r="133" spans="1:9" x14ac:dyDescent="0.3">
      <c r="A133" t="s">
        <v>140</v>
      </c>
      <c r="B133" t="s">
        <v>209</v>
      </c>
      <c r="C133" t="s">
        <v>212</v>
      </c>
      <c r="D133">
        <v>49979</v>
      </c>
      <c r="E133" t="s">
        <v>218</v>
      </c>
      <c r="F133" t="s">
        <v>221</v>
      </c>
      <c r="G133" t="s">
        <v>223</v>
      </c>
      <c r="H133">
        <v>0</v>
      </c>
      <c r="I133" s="1">
        <v>45461</v>
      </c>
    </row>
    <row r="134" spans="1:9" x14ac:dyDescent="0.3">
      <c r="A134" t="s">
        <v>141</v>
      </c>
      <c r="B134" t="s">
        <v>210</v>
      </c>
      <c r="C134" t="s">
        <v>213</v>
      </c>
      <c r="D134">
        <v>44196</v>
      </c>
      <c r="E134" t="s">
        <v>218</v>
      </c>
      <c r="F134" t="s">
        <v>219</v>
      </c>
      <c r="G134" t="s">
        <v>226</v>
      </c>
      <c r="H134">
        <v>0</v>
      </c>
      <c r="I134" s="1">
        <v>45611</v>
      </c>
    </row>
    <row r="135" spans="1:9" x14ac:dyDescent="0.3">
      <c r="A135" t="s">
        <v>142</v>
      </c>
      <c r="B135" t="s">
        <v>211</v>
      </c>
      <c r="C135" t="s">
        <v>216</v>
      </c>
      <c r="D135">
        <v>46187</v>
      </c>
      <c r="E135" t="s">
        <v>217</v>
      </c>
      <c r="F135" t="s">
        <v>219</v>
      </c>
      <c r="G135" t="s">
        <v>226</v>
      </c>
      <c r="H135">
        <v>0</v>
      </c>
      <c r="I135" s="1">
        <v>45452</v>
      </c>
    </row>
    <row r="136" spans="1:9" x14ac:dyDescent="0.3">
      <c r="A136" t="s">
        <v>143</v>
      </c>
      <c r="B136" t="s">
        <v>210</v>
      </c>
      <c r="C136" t="s">
        <v>212</v>
      </c>
      <c r="D136">
        <v>23952</v>
      </c>
      <c r="E136" t="s">
        <v>217</v>
      </c>
      <c r="F136" t="s">
        <v>221</v>
      </c>
      <c r="G136" t="s">
        <v>224</v>
      </c>
      <c r="H136">
        <v>1</v>
      </c>
      <c r="I136" s="1">
        <v>45631</v>
      </c>
    </row>
    <row r="137" spans="1:9" x14ac:dyDescent="0.3">
      <c r="A137" t="s">
        <v>144</v>
      </c>
      <c r="B137" t="s">
        <v>210</v>
      </c>
      <c r="C137" t="s">
        <v>213</v>
      </c>
      <c r="D137">
        <v>33210</v>
      </c>
      <c r="E137" t="s">
        <v>218</v>
      </c>
      <c r="F137" t="s">
        <v>220</v>
      </c>
      <c r="G137" t="s">
        <v>224</v>
      </c>
      <c r="H137">
        <v>0</v>
      </c>
      <c r="I137" s="1">
        <v>45355</v>
      </c>
    </row>
    <row r="138" spans="1:9" x14ac:dyDescent="0.3">
      <c r="A138" t="s">
        <v>145</v>
      </c>
      <c r="B138" t="s">
        <v>210</v>
      </c>
      <c r="C138" t="s">
        <v>215</v>
      </c>
      <c r="D138">
        <v>32274</v>
      </c>
      <c r="E138" t="s">
        <v>218</v>
      </c>
      <c r="F138" t="s">
        <v>222</v>
      </c>
      <c r="G138" t="s">
        <v>226</v>
      </c>
      <c r="H138">
        <v>0</v>
      </c>
      <c r="I138" s="1">
        <v>45445</v>
      </c>
    </row>
    <row r="139" spans="1:9" x14ac:dyDescent="0.3">
      <c r="A139" t="s">
        <v>146</v>
      </c>
      <c r="B139" t="s">
        <v>211</v>
      </c>
      <c r="C139" t="s">
        <v>212</v>
      </c>
      <c r="D139">
        <v>34315</v>
      </c>
      <c r="E139" t="s">
        <v>217</v>
      </c>
      <c r="F139" t="s">
        <v>220</v>
      </c>
      <c r="G139" t="s">
        <v>224</v>
      </c>
      <c r="H139">
        <v>0</v>
      </c>
      <c r="I139" s="1">
        <v>45551</v>
      </c>
    </row>
    <row r="140" spans="1:9" x14ac:dyDescent="0.3">
      <c r="A140" t="s">
        <v>147</v>
      </c>
      <c r="B140" t="s">
        <v>211</v>
      </c>
      <c r="C140" t="s">
        <v>213</v>
      </c>
      <c r="D140">
        <v>27055</v>
      </c>
      <c r="E140" t="s">
        <v>217</v>
      </c>
      <c r="F140" t="s">
        <v>222</v>
      </c>
      <c r="G140" t="s">
        <v>226</v>
      </c>
      <c r="H140">
        <v>0</v>
      </c>
      <c r="I140" s="1">
        <v>45450</v>
      </c>
    </row>
    <row r="141" spans="1:9" x14ac:dyDescent="0.3">
      <c r="A141" t="s">
        <v>148</v>
      </c>
      <c r="B141" t="s">
        <v>209</v>
      </c>
      <c r="C141" t="s">
        <v>215</v>
      </c>
      <c r="D141">
        <v>6681</v>
      </c>
      <c r="E141" t="s">
        <v>217</v>
      </c>
      <c r="F141" t="s">
        <v>219</v>
      </c>
      <c r="G141" t="s">
        <v>226</v>
      </c>
      <c r="H141">
        <v>0</v>
      </c>
      <c r="I141" s="1">
        <v>45633</v>
      </c>
    </row>
    <row r="142" spans="1:9" x14ac:dyDescent="0.3">
      <c r="A142" t="s">
        <v>149</v>
      </c>
      <c r="B142" t="s">
        <v>210</v>
      </c>
      <c r="C142" t="s">
        <v>216</v>
      </c>
      <c r="D142">
        <v>44719</v>
      </c>
      <c r="E142" t="s">
        <v>217</v>
      </c>
      <c r="F142" t="s">
        <v>220</v>
      </c>
      <c r="G142" t="s">
        <v>226</v>
      </c>
      <c r="H142">
        <v>1</v>
      </c>
      <c r="I142" s="1">
        <v>45501</v>
      </c>
    </row>
    <row r="143" spans="1:9" x14ac:dyDescent="0.3">
      <c r="A143" t="s">
        <v>150</v>
      </c>
      <c r="B143" t="s">
        <v>209</v>
      </c>
      <c r="C143" t="s">
        <v>216</v>
      </c>
      <c r="D143">
        <v>6417</v>
      </c>
      <c r="E143" t="s">
        <v>217</v>
      </c>
      <c r="F143" t="s">
        <v>222</v>
      </c>
      <c r="G143" t="s">
        <v>225</v>
      </c>
      <c r="H143">
        <v>0</v>
      </c>
      <c r="I143" s="1">
        <v>45459</v>
      </c>
    </row>
    <row r="144" spans="1:9" x14ac:dyDescent="0.3">
      <c r="A144" t="s">
        <v>151</v>
      </c>
      <c r="B144" t="s">
        <v>210</v>
      </c>
      <c r="C144" t="s">
        <v>216</v>
      </c>
      <c r="D144">
        <v>49778</v>
      </c>
      <c r="E144" t="s">
        <v>217</v>
      </c>
      <c r="F144" t="s">
        <v>221</v>
      </c>
      <c r="G144" t="s">
        <v>224</v>
      </c>
      <c r="H144">
        <v>0</v>
      </c>
      <c r="I144" s="1">
        <v>45498</v>
      </c>
    </row>
    <row r="145" spans="1:9" x14ac:dyDescent="0.3">
      <c r="A145" t="s">
        <v>152</v>
      </c>
      <c r="B145" t="s">
        <v>211</v>
      </c>
      <c r="C145" t="s">
        <v>216</v>
      </c>
      <c r="D145">
        <v>42956</v>
      </c>
      <c r="E145" t="s">
        <v>218</v>
      </c>
      <c r="F145" t="s">
        <v>219</v>
      </c>
      <c r="G145" t="s">
        <v>223</v>
      </c>
      <c r="H145">
        <v>0</v>
      </c>
      <c r="I145" s="1">
        <v>45648</v>
      </c>
    </row>
    <row r="146" spans="1:9" x14ac:dyDescent="0.3">
      <c r="A146" t="s">
        <v>153</v>
      </c>
      <c r="B146" t="s">
        <v>211</v>
      </c>
      <c r="C146" t="s">
        <v>214</v>
      </c>
      <c r="D146">
        <v>45814</v>
      </c>
      <c r="E146" t="s">
        <v>217</v>
      </c>
      <c r="F146" t="s">
        <v>221</v>
      </c>
      <c r="G146" t="s">
        <v>223</v>
      </c>
      <c r="H146">
        <v>0</v>
      </c>
      <c r="I146" s="1">
        <v>45443</v>
      </c>
    </row>
    <row r="147" spans="1:9" x14ac:dyDescent="0.3">
      <c r="A147" t="s">
        <v>154</v>
      </c>
      <c r="B147" t="s">
        <v>211</v>
      </c>
      <c r="C147" t="s">
        <v>212</v>
      </c>
      <c r="D147">
        <v>26749</v>
      </c>
      <c r="E147" t="s">
        <v>217</v>
      </c>
      <c r="F147" t="s">
        <v>219</v>
      </c>
      <c r="G147" t="s">
        <v>224</v>
      </c>
      <c r="H147">
        <v>0</v>
      </c>
      <c r="I147" s="1">
        <v>45575</v>
      </c>
    </row>
    <row r="148" spans="1:9" x14ac:dyDescent="0.3">
      <c r="A148" t="s">
        <v>155</v>
      </c>
      <c r="B148" t="s">
        <v>210</v>
      </c>
      <c r="C148" t="s">
        <v>212</v>
      </c>
      <c r="D148">
        <v>23232</v>
      </c>
      <c r="E148" t="s">
        <v>218</v>
      </c>
      <c r="F148" t="s">
        <v>220</v>
      </c>
      <c r="G148" t="s">
        <v>226</v>
      </c>
      <c r="H148">
        <v>0</v>
      </c>
      <c r="I148" s="1">
        <v>45357</v>
      </c>
    </row>
    <row r="149" spans="1:9" x14ac:dyDescent="0.3">
      <c r="A149" t="s">
        <v>156</v>
      </c>
      <c r="B149" t="s">
        <v>211</v>
      </c>
      <c r="C149" t="s">
        <v>214</v>
      </c>
      <c r="D149">
        <v>16889</v>
      </c>
      <c r="E149" t="s">
        <v>217</v>
      </c>
      <c r="F149" t="s">
        <v>220</v>
      </c>
      <c r="G149" t="s">
        <v>223</v>
      </c>
      <c r="H149">
        <v>0</v>
      </c>
      <c r="I149" s="1">
        <v>45390</v>
      </c>
    </row>
    <row r="150" spans="1:9" x14ac:dyDescent="0.3">
      <c r="A150" t="s">
        <v>157</v>
      </c>
      <c r="B150" t="s">
        <v>210</v>
      </c>
      <c r="C150" t="s">
        <v>213</v>
      </c>
      <c r="D150">
        <v>14667</v>
      </c>
      <c r="E150" t="s">
        <v>217</v>
      </c>
      <c r="F150" t="s">
        <v>219</v>
      </c>
      <c r="G150" t="s">
        <v>223</v>
      </c>
      <c r="H150">
        <v>0</v>
      </c>
      <c r="I150" s="1">
        <v>45507</v>
      </c>
    </row>
    <row r="151" spans="1:9" x14ac:dyDescent="0.3">
      <c r="A151" t="s">
        <v>158</v>
      </c>
      <c r="B151" t="s">
        <v>209</v>
      </c>
      <c r="C151" t="s">
        <v>213</v>
      </c>
      <c r="D151">
        <v>14968</v>
      </c>
      <c r="E151" t="s">
        <v>217</v>
      </c>
      <c r="F151" t="s">
        <v>219</v>
      </c>
      <c r="G151" t="s">
        <v>224</v>
      </c>
      <c r="H151">
        <v>0</v>
      </c>
      <c r="I151" s="1">
        <v>45632</v>
      </c>
    </row>
    <row r="152" spans="1:9" x14ac:dyDescent="0.3">
      <c r="A152" t="s">
        <v>159</v>
      </c>
      <c r="B152" t="s">
        <v>210</v>
      </c>
      <c r="C152" t="s">
        <v>216</v>
      </c>
      <c r="D152">
        <v>24470</v>
      </c>
      <c r="E152" t="s">
        <v>217</v>
      </c>
      <c r="F152" t="s">
        <v>219</v>
      </c>
      <c r="G152" t="s">
        <v>223</v>
      </c>
      <c r="H152">
        <v>0</v>
      </c>
      <c r="I152" s="1">
        <v>45486</v>
      </c>
    </row>
    <row r="153" spans="1:9" x14ac:dyDescent="0.3">
      <c r="A153" t="s">
        <v>160</v>
      </c>
      <c r="B153" t="s">
        <v>209</v>
      </c>
      <c r="C153" t="s">
        <v>215</v>
      </c>
      <c r="D153">
        <v>42633</v>
      </c>
      <c r="E153" t="s">
        <v>217</v>
      </c>
      <c r="F153" t="s">
        <v>220</v>
      </c>
      <c r="G153" t="s">
        <v>226</v>
      </c>
      <c r="H153">
        <v>0</v>
      </c>
      <c r="I153" s="1">
        <v>45638</v>
      </c>
    </row>
    <row r="154" spans="1:9" x14ac:dyDescent="0.3">
      <c r="A154" t="s">
        <v>161</v>
      </c>
      <c r="B154" t="s">
        <v>210</v>
      </c>
      <c r="C154" t="s">
        <v>213</v>
      </c>
      <c r="D154">
        <v>30583</v>
      </c>
      <c r="E154" t="s">
        <v>218</v>
      </c>
      <c r="F154" t="s">
        <v>222</v>
      </c>
      <c r="G154" t="s">
        <v>224</v>
      </c>
      <c r="H154">
        <v>0</v>
      </c>
      <c r="I154" s="1">
        <v>45381</v>
      </c>
    </row>
    <row r="155" spans="1:9" x14ac:dyDescent="0.3">
      <c r="A155" t="s">
        <v>162</v>
      </c>
      <c r="B155" t="s">
        <v>209</v>
      </c>
      <c r="C155" t="s">
        <v>215</v>
      </c>
      <c r="D155">
        <v>12566</v>
      </c>
      <c r="E155" t="s">
        <v>217</v>
      </c>
      <c r="F155" t="s">
        <v>221</v>
      </c>
      <c r="G155" t="s">
        <v>226</v>
      </c>
      <c r="H155">
        <v>0</v>
      </c>
      <c r="I155" s="1">
        <v>45607</v>
      </c>
    </row>
    <row r="156" spans="1:9" x14ac:dyDescent="0.3">
      <c r="A156" t="s">
        <v>163</v>
      </c>
      <c r="B156" t="s">
        <v>211</v>
      </c>
      <c r="C156" t="s">
        <v>212</v>
      </c>
      <c r="D156">
        <v>28903</v>
      </c>
      <c r="E156" t="s">
        <v>218</v>
      </c>
      <c r="F156" t="s">
        <v>221</v>
      </c>
      <c r="G156" t="s">
        <v>223</v>
      </c>
      <c r="H156">
        <v>1</v>
      </c>
      <c r="I156" s="1">
        <v>45583</v>
      </c>
    </row>
    <row r="157" spans="1:9" x14ac:dyDescent="0.3">
      <c r="A157" t="s">
        <v>164</v>
      </c>
      <c r="B157" t="s">
        <v>209</v>
      </c>
      <c r="C157" t="s">
        <v>215</v>
      </c>
      <c r="D157">
        <v>18330</v>
      </c>
      <c r="E157" t="s">
        <v>218</v>
      </c>
      <c r="F157" t="s">
        <v>220</v>
      </c>
      <c r="G157" t="s">
        <v>223</v>
      </c>
      <c r="H157">
        <v>0</v>
      </c>
      <c r="I157" s="1">
        <v>45446</v>
      </c>
    </row>
    <row r="158" spans="1:9" x14ac:dyDescent="0.3">
      <c r="A158" t="s">
        <v>165</v>
      </c>
      <c r="B158" t="s">
        <v>211</v>
      </c>
      <c r="C158" t="s">
        <v>212</v>
      </c>
      <c r="D158">
        <v>17962</v>
      </c>
      <c r="E158" t="s">
        <v>217</v>
      </c>
      <c r="F158" t="s">
        <v>221</v>
      </c>
      <c r="G158" t="s">
        <v>226</v>
      </c>
      <c r="H158">
        <v>1</v>
      </c>
      <c r="I158" s="1">
        <v>45499</v>
      </c>
    </row>
    <row r="159" spans="1:9" x14ac:dyDescent="0.3">
      <c r="A159" t="s">
        <v>166</v>
      </c>
      <c r="B159" t="s">
        <v>211</v>
      </c>
      <c r="C159" t="s">
        <v>214</v>
      </c>
      <c r="D159">
        <v>43455</v>
      </c>
      <c r="E159" t="s">
        <v>218</v>
      </c>
      <c r="F159" t="s">
        <v>219</v>
      </c>
      <c r="G159" t="s">
        <v>225</v>
      </c>
      <c r="H159">
        <v>0</v>
      </c>
      <c r="I159" s="1">
        <v>45572</v>
      </c>
    </row>
    <row r="160" spans="1:9" x14ac:dyDescent="0.3">
      <c r="A160" t="s">
        <v>167</v>
      </c>
      <c r="B160" t="s">
        <v>209</v>
      </c>
      <c r="C160" t="s">
        <v>214</v>
      </c>
      <c r="D160">
        <v>31359</v>
      </c>
      <c r="E160" t="s">
        <v>217</v>
      </c>
      <c r="F160" t="s">
        <v>222</v>
      </c>
      <c r="G160" t="s">
        <v>223</v>
      </c>
      <c r="H160">
        <v>0</v>
      </c>
      <c r="I160" s="1">
        <v>45292</v>
      </c>
    </row>
    <row r="161" spans="1:9" x14ac:dyDescent="0.3">
      <c r="A161" t="s">
        <v>168</v>
      </c>
      <c r="B161" t="s">
        <v>210</v>
      </c>
      <c r="C161" t="s">
        <v>216</v>
      </c>
      <c r="D161">
        <v>33639</v>
      </c>
      <c r="E161" t="s">
        <v>218</v>
      </c>
      <c r="F161" t="s">
        <v>221</v>
      </c>
      <c r="G161" t="s">
        <v>225</v>
      </c>
      <c r="H161">
        <v>0</v>
      </c>
      <c r="I161" s="1">
        <v>45447</v>
      </c>
    </row>
    <row r="162" spans="1:9" x14ac:dyDescent="0.3">
      <c r="A162" t="s">
        <v>169</v>
      </c>
      <c r="B162" t="s">
        <v>210</v>
      </c>
      <c r="C162" t="s">
        <v>213</v>
      </c>
      <c r="D162">
        <v>22009</v>
      </c>
      <c r="E162" t="s">
        <v>218</v>
      </c>
      <c r="F162" t="s">
        <v>222</v>
      </c>
      <c r="G162" t="s">
        <v>223</v>
      </c>
      <c r="H162">
        <v>1</v>
      </c>
      <c r="I162" s="1">
        <v>45438</v>
      </c>
    </row>
    <row r="163" spans="1:9" x14ac:dyDescent="0.3">
      <c r="A163" t="s">
        <v>170</v>
      </c>
      <c r="B163" t="s">
        <v>210</v>
      </c>
      <c r="C163" t="s">
        <v>216</v>
      </c>
      <c r="D163">
        <v>30895</v>
      </c>
      <c r="E163" t="s">
        <v>217</v>
      </c>
      <c r="F163" t="s">
        <v>219</v>
      </c>
      <c r="G163" t="s">
        <v>225</v>
      </c>
      <c r="H163">
        <v>0</v>
      </c>
      <c r="I163" s="1">
        <v>45399</v>
      </c>
    </row>
    <row r="164" spans="1:9" x14ac:dyDescent="0.3">
      <c r="A164" t="s">
        <v>171</v>
      </c>
      <c r="B164" t="s">
        <v>210</v>
      </c>
      <c r="C164" t="s">
        <v>212</v>
      </c>
      <c r="D164">
        <v>49168</v>
      </c>
      <c r="E164" t="s">
        <v>217</v>
      </c>
      <c r="F164" t="s">
        <v>221</v>
      </c>
      <c r="G164" t="s">
        <v>225</v>
      </c>
      <c r="H164">
        <v>0</v>
      </c>
      <c r="I164" s="1">
        <v>45512</v>
      </c>
    </row>
    <row r="165" spans="1:9" x14ac:dyDescent="0.3">
      <c r="A165" t="s">
        <v>172</v>
      </c>
      <c r="B165" t="s">
        <v>210</v>
      </c>
      <c r="C165" t="s">
        <v>216</v>
      </c>
      <c r="D165">
        <v>8870</v>
      </c>
      <c r="E165" t="s">
        <v>217</v>
      </c>
      <c r="F165" t="s">
        <v>220</v>
      </c>
      <c r="G165" t="s">
        <v>225</v>
      </c>
      <c r="H165">
        <v>0</v>
      </c>
      <c r="I165" s="1">
        <v>45588</v>
      </c>
    </row>
    <row r="166" spans="1:9" x14ac:dyDescent="0.3">
      <c r="A166" t="s">
        <v>173</v>
      </c>
      <c r="B166" t="s">
        <v>211</v>
      </c>
      <c r="C166" t="s">
        <v>215</v>
      </c>
      <c r="D166">
        <v>11193</v>
      </c>
      <c r="E166" t="s">
        <v>217</v>
      </c>
      <c r="F166" t="s">
        <v>222</v>
      </c>
      <c r="G166" t="s">
        <v>226</v>
      </c>
      <c r="H166">
        <v>0</v>
      </c>
      <c r="I166" s="1">
        <v>45602</v>
      </c>
    </row>
    <row r="167" spans="1:9" x14ac:dyDescent="0.3">
      <c r="A167" t="s">
        <v>174</v>
      </c>
      <c r="B167" t="s">
        <v>210</v>
      </c>
      <c r="C167" t="s">
        <v>212</v>
      </c>
      <c r="D167">
        <v>46671</v>
      </c>
      <c r="E167" t="s">
        <v>217</v>
      </c>
      <c r="F167" t="s">
        <v>219</v>
      </c>
      <c r="G167" t="s">
        <v>225</v>
      </c>
      <c r="H167">
        <v>0</v>
      </c>
      <c r="I167" s="1">
        <v>45627</v>
      </c>
    </row>
    <row r="168" spans="1:9" x14ac:dyDescent="0.3">
      <c r="A168" t="s">
        <v>175</v>
      </c>
      <c r="B168" t="s">
        <v>211</v>
      </c>
      <c r="C168" t="s">
        <v>214</v>
      </c>
      <c r="D168">
        <v>293</v>
      </c>
      <c r="E168" t="s">
        <v>218</v>
      </c>
      <c r="F168" t="s">
        <v>222</v>
      </c>
      <c r="G168" t="s">
        <v>225</v>
      </c>
      <c r="H168">
        <v>0</v>
      </c>
      <c r="I168" s="1">
        <v>45456</v>
      </c>
    </row>
    <row r="169" spans="1:9" x14ac:dyDescent="0.3">
      <c r="A169" t="s">
        <v>176</v>
      </c>
      <c r="B169" t="s">
        <v>211</v>
      </c>
      <c r="C169" t="s">
        <v>213</v>
      </c>
      <c r="D169">
        <v>34875</v>
      </c>
      <c r="E169" t="s">
        <v>218</v>
      </c>
      <c r="F169" t="s">
        <v>221</v>
      </c>
      <c r="G169" t="s">
        <v>225</v>
      </c>
      <c r="H169">
        <v>1</v>
      </c>
      <c r="I169" s="1">
        <v>45530</v>
      </c>
    </row>
    <row r="170" spans="1:9" x14ac:dyDescent="0.3">
      <c r="A170" t="s">
        <v>177</v>
      </c>
      <c r="B170" t="s">
        <v>211</v>
      </c>
      <c r="C170" t="s">
        <v>212</v>
      </c>
      <c r="D170">
        <v>17669</v>
      </c>
      <c r="E170" t="s">
        <v>218</v>
      </c>
      <c r="F170" t="s">
        <v>221</v>
      </c>
      <c r="G170" t="s">
        <v>223</v>
      </c>
      <c r="H170">
        <v>0</v>
      </c>
      <c r="I170" s="1">
        <v>45518</v>
      </c>
    </row>
    <row r="171" spans="1:9" x14ac:dyDescent="0.3">
      <c r="A171" t="s">
        <v>178</v>
      </c>
      <c r="B171" t="s">
        <v>209</v>
      </c>
      <c r="C171" t="s">
        <v>212</v>
      </c>
      <c r="D171">
        <v>11290</v>
      </c>
      <c r="E171" t="s">
        <v>218</v>
      </c>
      <c r="F171" t="s">
        <v>220</v>
      </c>
      <c r="G171" t="s">
        <v>225</v>
      </c>
      <c r="H171">
        <v>0</v>
      </c>
      <c r="I171" s="1">
        <v>45518</v>
      </c>
    </row>
    <row r="172" spans="1:9" x14ac:dyDescent="0.3">
      <c r="A172" t="s">
        <v>179</v>
      </c>
      <c r="B172" t="s">
        <v>209</v>
      </c>
      <c r="C172" t="s">
        <v>215</v>
      </c>
      <c r="D172">
        <v>42852</v>
      </c>
      <c r="E172" t="s">
        <v>218</v>
      </c>
      <c r="F172" t="s">
        <v>219</v>
      </c>
      <c r="G172" t="s">
        <v>223</v>
      </c>
      <c r="H172">
        <v>0</v>
      </c>
      <c r="I172" s="1">
        <v>45637</v>
      </c>
    </row>
    <row r="173" spans="1:9" x14ac:dyDescent="0.3">
      <c r="A173" t="s">
        <v>180</v>
      </c>
      <c r="B173" t="s">
        <v>211</v>
      </c>
      <c r="C173" t="s">
        <v>213</v>
      </c>
      <c r="D173">
        <v>32427</v>
      </c>
      <c r="E173" t="s">
        <v>218</v>
      </c>
      <c r="F173" t="s">
        <v>219</v>
      </c>
      <c r="G173" t="s">
        <v>225</v>
      </c>
      <c r="H173">
        <v>0</v>
      </c>
      <c r="I173" s="1">
        <v>45401</v>
      </c>
    </row>
    <row r="174" spans="1:9" x14ac:dyDescent="0.3">
      <c r="A174" t="s">
        <v>181</v>
      </c>
      <c r="B174" t="s">
        <v>209</v>
      </c>
      <c r="C174" t="s">
        <v>214</v>
      </c>
      <c r="D174">
        <v>42170</v>
      </c>
      <c r="E174" t="s">
        <v>218</v>
      </c>
      <c r="F174" t="s">
        <v>220</v>
      </c>
      <c r="G174" t="s">
        <v>225</v>
      </c>
      <c r="H174">
        <v>0</v>
      </c>
      <c r="I174" s="1">
        <v>45553</v>
      </c>
    </row>
    <row r="175" spans="1:9" x14ac:dyDescent="0.3">
      <c r="A175" t="s">
        <v>182</v>
      </c>
      <c r="B175" t="s">
        <v>210</v>
      </c>
      <c r="C175" t="s">
        <v>212</v>
      </c>
      <c r="D175">
        <v>20489</v>
      </c>
      <c r="E175" t="s">
        <v>217</v>
      </c>
      <c r="F175" t="s">
        <v>220</v>
      </c>
      <c r="G175" t="s">
        <v>226</v>
      </c>
      <c r="H175">
        <v>0</v>
      </c>
      <c r="I175" s="1">
        <v>45534</v>
      </c>
    </row>
    <row r="176" spans="1:9" x14ac:dyDescent="0.3">
      <c r="A176" t="s">
        <v>183</v>
      </c>
      <c r="B176" t="s">
        <v>210</v>
      </c>
      <c r="C176" t="s">
        <v>212</v>
      </c>
      <c r="D176">
        <v>40297</v>
      </c>
      <c r="E176" t="s">
        <v>217</v>
      </c>
      <c r="F176" t="s">
        <v>219</v>
      </c>
      <c r="G176" t="s">
        <v>223</v>
      </c>
      <c r="H176">
        <v>0</v>
      </c>
      <c r="I176" s="1">
        <v>45378</v>
      </c>
    </row>
    <row r="177" spans="1:9" x14ac:dyDescent="0.3">
      <c r="A177" t="s">
        <v>184</v>
      </c>
      <c r="B177" t="s">
        <v>211</v>
      </c>
      <c r="C177" t="s">
        <v>215</v>
      </c>
      <c r="D177">
        <v>2361</v>
      </c>
      <c r="E177" t="s">
        <v>218</v>
      </c>
      <c r="F177" t="s">
        <v>222</v>
      </c>
      <c r="G177" t="s">
        <v>225</v>
      </c>
      <c r="H177">
        <v>1</v>
      </c>
      <c r="I177" s="1">
        <v>45629</v>
      </c>
    </row>
    <row r="178" spans="1:9" x14ac:dyDescent="0.3">
      <c r="A178" t="s">
        <v>185</v>
      </c>
      <c r="B178" t="s">
        <v>210</v>
      </c>
      <c r="C178" t="s">
        <v>216</v>
      </c>
      <c r="D178">
        <v>28469</v>
      </c>
      <c r="E178" t="s">
        <v>218</v>
      </c>
      <c r="F178" t="s">
        <v>222</v>
      </c>
      <c r="G178" t="s">
        <v>223</v>
      </c>
      <c r="H178">
        <v>1</v>
      </c>
      <c r="I178" s="1">
        <v>45335</v>
      </c>
    </row>
    <row r="179" spans="1:9" x14ac:dyDescent="0.3">
      <c r="A179" t="s">
        <v>186</v>
      </c>
      <c r="B179" t="s">
        <v>211</v>
      </c>
      <c r="C179" t="s">
        <v>214</v>
      </c>
      <c r="D179">
        <v>26612</v>
      </c>
      <c r="E179" t="s">
        <v>217</v>
      </c>
      <c r="F179" t="s">
        <v>220</v>
      </c>
      <c r="G179" t="s">
        <v>223</v>
      </c>
      <c r="H179">
        <v>0</v>
      </c>
      <c r="I179" s="1">
        <v>45437</v>
      </c>
    </row>
    <row r="180" spans="1:9" x14ac:dyDescent="0.3">
      <c r="A180" t="s">
        <v>187</v>
      </c>
      <c r="B180" t="s">
        <v>211</v>
      </c>
      <c r="C180" t="s">
        <v>213</v>
      </c>
      <c r="D180">
        <v>6816</v>
      </c>
      <c r="E180" t="s">
        <v>217</v>
      </c>
      <c r="F180" t="s">
        <v>222</v>
      </c>
      <c r="G180" t="s">
        <v>224</v>
      </c>
      <c r="H180">
        <v>1</v>
      </c>
      <c r="I180" s="1">
        <v>45555</v>
      </c>
    </row>
    <row r="181" spans="1:9" x14ac:dyDescent="0.3">
      <c r="A181" t="s">
        <v>188</v>
      </c>
      <c r="B181" t="s">
        <v>210</v>
      </c>
      <c r="C181" t="s">
        <v>212</v>
      </c>
      <c r="D181">
        <v>21359</v>
      </c>
      <c r="E181" t="s">
        <v>217</v>
      </c>
      <c r="F181" t="s">
        <v>219</v>
      </c>
      <c r="G181" t="s">
        <v>226</v>
      </c>
      <c r="H181">
        <v>0</v>
      </c>
      <c r="I181" s="1">
        <v>45631</v>
      </c>
    </row>
    <row r="182" spans="1:9" x14ac:dyDescent="0.3">
      <c r="A182" t="s">
        <v>189</v>
      </c>
      <c r="B182" t="s">
        <v>209</v>
      </c>
      <c r="C182" t="s">
        <v>212</v>
      </c>
      <c r="D182">
        <v>29033</v>
      </c>
      <c r="E182" t="s">
        <v>217</v>
      </c>
      <c r="F182" t="s">
        <v>221</v>
      </c>
      <c r="G182" t="s">
        <v>226</v>
      </c>
      <c r="H182">
        <v>0</v>
      </c>
      <c r="I182" s="1">
        <v>45616</v>
      </c>
    </row>
    <row r="183" spans="1:9" x14ac:dyDescent="0.3">
      <c r="A183" t="s">
        <v>190</v>
      </c>
      <c r="B183" t="s">
        <v>210</v>
      </c>
      <c r="C183" t="s">
        <v>214</v>
      </c>
      <c r="D183">
        <v>41789</v>
      </c>
      <c r="E183" t="s">
        <v>218</v>
      </c>
      <c r="F183" t="s">
        <v>221</v>
      </c>
      <c r="G183" t="s">
        <v>226</v>
      </c>
      <c r="H183">
        <v>0</v>
      </c>
      <c r="I183" s="1">
        <v>45609</v>
      </c>
    </row>
    <row r="184" spans="1:9" x14ac:dyDescent="0.3">
      <c r="A184" t="s">
        <v>191</v>
      </c>
      <c r="B184" t="s">
        <v>210</v>
      </c>
      <c r="C184" t="s">
        <v>216</v>
      </c>
      <c r="D184">
        <v>4478</v>
      </c>
      <c r="E184" t="s">
        <v>217</v>
      </c>
      <c r="F184" t="s">
        <v>222</v>
      </c>
      <c r="G184" t="s">
        <v>224</v>
      </c>
      <c r="H184">
        <v>0</v>
      </c>
      <c r="I184" s="1">
        <v>45463</v>
      </c>
    </row>
    <row r="185" spans="1:9" x14ac:dyDescent="0.3">
      <c r="A185" t="s">
        <v>192</v>
      </c>
      <c r="B185" t="s">
        <v>211</v>
      </c>
      <c r="C185" t="s">
        <v>212</v>
      </c>
      <c r="D185">
        <v>40683</v>
      </c>
      <c r="E185" t="s">
        <v>218</v>
      </c>
      <c r="F185" t="s">
        <v>220</v>
      </c>
      <c r="G185" t="s">
        <v>224</v>
      </c>
      <c r="H185">
        <v>0</v>
      </c>
      <c r="I185" s="1">
        <v>45339</v>
      </c>
    </row>
    <row r="186" spans="1:9" x14ac:dyDescent="0.3">
      <c r="A186" t="s">
        <v>193</v>
      </c>
      <c r="B186" t="s">
        <v>211</v>
      </c>
      <c r="C186" t="s">
        <v>214</v>
      </c>
      <c r="D186">
        <v>46646</v>
      </c>
      <c r="E186" t="s">
        <v>218</v>
      </c>
      <c r="F186" t="s">
        <v>220</v>
      </c>
      <c r="G186" t="s">
        <v>226</v>
      </c>
      <c r="H186">
        <v>0</v>
      </c>
      <c r="I186" s="1">
        <v>45412</v>
      </c>
    </row>
    <row r="187" spans="1:9" x14ac:dyDescent="0.3">
      <c r="A187" t="s">
        <v>194</v>
      </c>
      <c r="B187" t="s">
        <v>211</v>
      </c>
      <c r="C187" t="s">
        <v>215</v>
      </c>
      <c r="D187">
        <v>19935</v>
      </c>
      <c r="E187" t="s">
        <v>218</v>
      </c>
      <c r="F187" t="s">
        <v>220</v>
      </c>
      <c r="G187" t="s">
        <v>224</v>
      </c>
      <c r="H187">
        <v>0</v>
      </c>
      <c r="I187" s="1">
        <v>45636</v>
      </c>
    </row>
    <row r="188" spans="1:9" x14ac:dyDescent="0.3">
      <c r="A188" t="s">
        <v>195</v>
      </c>
      <c r="B188" t="s">
        <v>211</v>
      </c>
      <c r="C188" t="s">
        <v>216</v>
      </c>
      <c r="D188">
        <v>29133</v>
      </c>
      <c r="E188" t="s">
        <v>217</v>
      </c>
      <c r="F188" t="s">
        <v>220</v>
      </c>
      <c r="G188" t="s">
        <v>224</v>
      </c>
      <c r="H188">
        <v>0</v>
      </c>
      <c r="I188" s="1">
        <v>45450</v>
      </c>
    </row>
    <row r="189" spans="1:9" x14ac:dyDescent="0.3">
      <c r="A189" t="s">
        <v>196</v>
      </c>
      <c r="B189" t="s">
        <v>209</v>
      </c>
      <c r="C189" t="s">
        <v>213</v>
      </c>
      <c r="D189">
        <v>24100</v>
      </c>
      <c r="E189" t="s">
        <v>217</v>
      </c>
      <c r="F189" t="s">
        <v>220</v>
      </c>
      <c r="G189" t="s">
        <v>224</v>
      </c>
      <c r="H189">
        <v>0</v>
      </c>
      <c r="I189" s="1">
        <v>45407</v>
      </c>
    </row>
    <row r="190" spans="1:9" x14ac:dyDescent="0.3">
      <c r="A190" t="s">
        <v>197</v>
      </c>
      <c r="B190" t="s">
        <v>209</v>
      </c>
      <c r="C190" t="s">
        <v>212</v>
      </c>
      <c r="D190">
        <v>45596</v>
      </c>
      <c r="E190" t="s">
        <v>218</v>
      </c>
      <c r="F190" t="s">
        <v>222</v>
      </c>
      <c r="G190" t="s">
        <v>226</v>
      </c>
      <c r="H190">
        <v>0</v>
      </c>
      <c r="I190" s="1">
        <v>45393</v>
      </c>
    </row>
    <row r="191" spans="1:9" x14ac:dyDescent="0.3">
      <c r="A191" t="s">
        <v>198</v>
      </c>
      <c r="B191" t="s">
        <v>209</v>
      </c>
      <c r="C191" t="s">
        <v>214</v>
      </c>
      <c r="D191">
        <v>10432</v>
      </c>
      <c r="E191" t="s">
        <v>218</v>
      </c>
      <c r="F191" t="s">
        <v>221</v>
      </c>
      <c r="G191" t="s">
        <v>226</v>
      </c>
      <c r="H191">
        <v>1</v>
      </c>
      <c r="I191" s="1">
        <v>45367</v>
      </c>
    </row>
    <row r="192" spans="1:9" x14ac:dyDescent="0.3">
      <c r="A192" t="s">
        <v>199</v>
      </c>
      <c r="B192" t="s">
        <v>211</v>
      </c>
      <c r="C192" t="s">
        <v>215</v>
      </c>
      <c r="D192">
        <v>42704</v>
      </c>
      <c r="E192" t="s">
        <v>218</v>
      </c>
      <c r="F192" t="s">
        <v>221</v>
      </c>
      <c r="G192" t="s">
        <v>226</v>
      </c>
      <c r="H192">
        <v>0</v>
      </c>
      <c r="I192" s="1">
        <v>45304</v>
      </c>
    </row>
    <row r="193" spans="1:9" x14ac:dyDescent="0.3">
      <c r="A193" t="s">
        <v>200</v>
      </c>
      <c r="B193" t="s">
        <v>211</v>
      </c>
      <c r="C193" t="s">
        <v>213</v>
      </c>
      <c r="D193">
        <v>2900</v>
      </c>
      <c r="E193" t="s">
        <v>217</v>
      </c>
      <c r="F193" t="s">
        <v>222</v>
      </c>
      <c r="G193" t="s">
        <v>224</v>
      </c>
      <c r="H193">
        <v>0</v>
      </c>
      <c r="I193" s="1">
        <v>45315</v>
      </c>
    </row>
    <row r="194" spans="1:9" x14ac:dyDescent="0.3">
      <c r="A194" t="s">
        <v>201</v>
      </c>
      <c r="B194" t="s">
        <v>211</v>
      </c>
      <c r="C194" t="s">
        <v>214</v>
      </c>
      <c r="D194">
        <v>29638</v>
      </c>
      <c r="E194" t="s">
        <v>218</v>
      </c>
      <c r="F194" t="s">
        <v>220</v>
      </c>
      <c r="G194" t="s">
        <v>226</v>
      </c>
      <c r="H194">
        <v>0</v>
      </c>
      <c r="I194" s="1">
        <v>45417</v>
      </c>
    </row>
    <row r="195" spans="1:9" x14ac:dyDescent="0.3">
      <c r="A195" t="s">
        <v>202</v>
      </c>
      <c r="B195" t="s">
        <v>209</v>
      </c>
      <c r="C195" t="s">
        <v>214</v>
      </c>
      <c r="D195">
        <v>30219</v>
      </c>
      <c r="E195" t="s">
        <v>217</v>
      </c>
      <c r="F195" t="s">
        <v>222</v>
      </c>
      <c r="G195" t="s">
        <v>224</v>
      </c>
      <c r="H195">
        <v>0</v>
      </c>
      <c r="I195" s="1">
        <v>45535</v>
      </c>
    </row>
    <row r="196" spans="1:9" x14ac:dyDescent="0.3">
      <c r="A196" t="s">
        <v>203</v>
      </c>
      <c r="B196" t="s">
        <v>211</v>
      </c>
      <c r="C196" t="s">
        <v>213</v>
      </c>
      <c r="D196">
        <v>8433</v>
      </c>
      <c r="E196" t="s">
        <v>218</v>
      </c>
      <c r="F196" t="s">
        <v>221</v>
      </c>
      <c r="G196" t="s">
        <v>225</v>
      </c>
      <c r="H196">
        <v>0</v>
      </c>
      <c r="I196" s="1">
        <v>45604</v>
      </c>
    </row>
    <row r="197" spans="1:9" x14ac:dyDescent="0.3">
      <c r="A197" t="s">
        <v>204</v>
      </c>
      <c r="B197" t="s">
        <v>210</v>
      </c>
      <c r="C197" t="s">
        <v>215</v>
      </c>
      <c r="D197">
        <v>5510</v>
      </c>
      <c r="E197" t="s">
        <v>218</v>
      </c>
      <c r="F197" t="s">
        <v>219</v>
      </c>
      <c r="G197" t="s">
        <v>224</v>
      </c>
      <c r="H197">
        <v>0</v>
      </c>
      <c r="I197" s="1">
        <v>45329</v>
      </c>
    </row>
    <row r="198" spans="1:9" x14ac:dyDescent="0.3">
      <c r="A198" t="s">
        <v>205</v>
      </c>
      <c r="B198" t="s">
        <v>210</v>
      </c>
      <c r="C198" t="s">
        <v>215</v>
      </c>
      <c r="D198">
        <v>17939</v>
      </c>
      <c r="E198" t="s">
        <v>218</v>
      </c>
      <c r="F198" t="s">
        <v>222</v>
      </c>
      <c r="G198" t="s">
        <v>223</v>
      </c>
      <c r="H198">
        <v>0</v>
      </c>
      <c r="I198" s="1">
        <v>45525</v>
      </c>
    </row>
    <row r="199" spans="1:9" x14ac:dyDescent="0.3">
      <c r="A199" t="s">
        <v>206</v>
      </c>
      <c r="B199" t="s">
        <v>211</v>
      </c>
      <c r="C199" t="s">
        <v>216</v>
      </c>
      <c r="D199">
        <v>30619</v>
      </c>
      <c r="E199" t="s">
        <v>217</v>
      </c>
      <c r="F199" t="s">
        <v>220</v>
      </c>
      <c r="G199" t="s">
        <v>226</v>
      </c>
      <c r="H199">
        <v>1</v>
      </c>
      <c r="I199" s="1">
        <v>45504</v>
      </c>
    </row>
    <row r="200" spans="1:9" x14ac:dyDescent="0.3">
      <c r="A200" t="s">
        <v>207</v>
      </c>
      <c r="B200" t="s">
        <v>210</v>
      </c>
      <c r="C200" t="s">
        <v>212</v>
      </c>
      <c r="D200">
        <v>5908</v>
      </c>
      <c r="E200" t="s">
        <v>217</v>
      </c>
      <c r="F200" t="s">
        <v>221</v>
      </c>
      <c r="G200" t="s">
        <v>226</v>
      </c>
      <c r="H200">
        <v>0</v>
      </c>
      <c r="I200" s="1">
        <v>45614</v>
      </c>
    </row>
    <row r="201" spans="1:9" x14ac:dyDescent="0.3">
      <c r="A201" t="s">
        <v>208</v>
      </c>
      <c r="B201" t="s">
        <v>210</v>
      </c>
      <c r="C201" t="s">
        <v>213</v>
      </c>
      <c r="D201">
        <v>6896</v>
      </c>
      <c r="E201" t="s">
        <v>218</v>
      </c>
      <c r="F201" t="s">
        <v>221</v>
      </c>
      <c r="G201" t="s">
        <v>223</v>
      </c>
      <c r="H201">
        <v>0</v>
      </c>
      <c r="I201" s="1">
        <v>45586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8551-2088-485A-BE96-6E828E89D9B7}">
  <dimension ref="A1:K27"/>
  <sheetViews>
    <sheetView tabSelected="1" zoomScale="106" workbookViewId="0">
      <selection activeCell="L23" sqref="L23"/>
    </sheetView>
  </sheetViews>
  <sheetFormatPr defaultRowHeight="14.4" x14ac:dyDescent="0.3"/>
  <cols>
    <col min="1" max="1" width="10.5546875" bestFit="1" customWidth="1"/>
    <col min="2" max="2" width="8.6640625" bestFit="1" customWidth="1"/>
    <col min="3" max="3" width="15.5546875" bestFit="1" customWidth="1"/>
    <col min="4" max="4" width="6.6640625" bestFit="1" customWidth="1"/>
    <col min="5" max="5" width="28.88671875" bestFit="1" customWidth="1"/>
    <col min="6" max="6" width="15" bestFit="1" customWidth="1"/>
    <col min="10" max="10" width="38.21875" customWidth="1"/>
    <col min="11" max="11" width="8.77734375" bestFit="1" customWidth="1"/>
  </cols>
  <sheetData>
    <row r="1" spans="1:6" x14ac:dyDescent="0.3">
      <c r="A1" t="s">
        <v>229</v>
      </c>
      <c r="B1" t="s">
        <v>230</v>
      </c>
      <c r="C1" t="s">
        <v>231</v>
      </c>
      <c r="D1" t="s">
        <v>232</v>
      </c>
      <c r="E1" s="8" t="s">
        <v>233</v>
      </c>
      <c r="F1" t="s">
        <v>234</v>
      </c>
    </row>
    <row r="2" spans="1:6" x14ac:dyDescent="0.3">
      <c r="A2">
        <v>1</v>
      </c>
      <c r="B2" t="s">
        <v>235</v>
      </c>
      <c r="C2" t="s">
        <v>241</v>
      </c>
      <c r="D2">
        <v>23</v>
      </c>
      <c r="E2" s="9">
        <v>23243</v>
      </c>
      <c r="F2" t="s">
        <v>245</v>
      </c>
    </row>
    <row r="3" spans="1:6" x14ac:dyDescent="0.3">
      <c r="A3">
        <v>2</v>
      </c>
      <c r="B3" t="s">
        <v>236</v>
      </c>
      <c r="C3" t="s">
        <v>242</v>
      </c>
      <c r="D3">
        <v>22</v>
      </c>
      <c r="E3" s="10">
        <v>24234</v>
      </c>
      <c r="F3" t="s">
        <v>246</v>
      </c>
    </row>
    <row r="4" spans="1:6" x14ac:dyDescent="0.3">
      <c r="A4">
        <v>3</v>
      </c>
      <c r="B4" t="s">
        <v>237</v>
      </c>
      <c r="C4" t="s">
        <v>243</v>
      </c>
      <c r="D4">
        <v>25</v>
      </c>
      <c r="E4" s="10">
        <v>36535</v>
      </c>
      <c r="F4" t="s">
        <v>247</v>
      </c>
    </row>
    <row r="5" spans="1:6" x14ac:dyDescent="0.3">
      <c r="A5">
        <v>4</v>
      </c>
      <c r="B5" t="s">
        <v>238</v>
      </c>
      <c r="C5" t="s">
        <v>243</v>
      </c>
      <c r="D5">
        <v>24</v>
      </c>
      <c r="E5" s="10">
        <v>24242</v>
      </c>
      <c r="F5" t="s">
        <v>248</v>
      </c>
    </row>
    <row r="6" spans="1:6" x14ac:dyDescent="0.3">
      <c r="A6">
        <v>5</v>
      </c>
      <c r="B6" t="s">
        <v>239</v>
      </c>
      <c r="C6" t="s">
        <v>244</v>
      </c>
      <c r="D6">
        <v>23</v>
      </c>
      <c r="E6" s="10">
        <v>36757</v>
      </c>
      <c r="F6" t="s">
        <v>249</v>
      </c>
    </row>
    <row r="7" spans="1:6" x14ac:dyDescent="0.3">
      <c r="A7">
        <v>6</v>
      </c>
      <c r="B7" t="s">
        <v>240</v>
      </c>
      <c r="C7" t="s">
        <v>242</v>
      </c>
      <c r="D7">
        <v>21</v>
      </c>
      <c r="E7" s="10">
        <v>12324</v>
      </c>
      <c r="F7" t="s">
        <v>250</v>
      </c>
    </row>
    <row r="8" spans="1:6" x14ac:dyDescent="0.3">
      <c r="A8">
        <v>7</v>
      </c>
      <c r="B8" t="s">
        <v>261</v>
      </c>
      <c r="C8" t="s">
        <v>243</v>
      </c>
      <c r="D8">
        <v>34</v>
      </c>
      <c r="E8" s="10">
        <v>56475</v>
      </c>
      <c r="F8" t="s">
        <v>247</v>
      </c>
    </row>
    <row r="9" spans="1:6" x14ac:dyDescent="0.3">
      <c r="E9" s="10">
        <f>SUM(E2:E8)</f>
        <v>213810</v>
      </c>
    </row>
    <row r="13" spans="1:6" x14ac:dyDescent="0.3">
      <c r="E13" t="s">
        <v>251</v>
      </c>
      <c r="F13" t="str" cm="1">
        <f t="array" ref="F13:F16">_xlfn.UNIQUE(Table1[[DESIGNATION ]],)</f>
        <v>MBA</v>
      </c>
    </row>
    <row r="14" spans="1:6" x14ac:dyDescent="0.3">
      <c r="F14" t="str">
        <v>B.TECH</v>
      </c>
    </row>
    <row r="15" spans="1:6" x14ac:dyDescent="0.3">
      <c r="F15" t="str">
        <v>M.TECH</v>
      </c>
    </row>
    <row r="16" spans="1:6" x14ac:dyDescent="0.3">
      <c r="B16" s="2" t="s">
        <v>235</v>
      </c>
      <c r="C16" s="13">
        <v>23243</v>
      </c>
      <c r="F16" t="str">
        <v>DIPLOMA</v>
      </c>
    </row>
    <row r="17" spans="2:11" x14ac:dyDescent="0.3">
      <c r="B17" s="3" t="s">
        <v>236</v>
      </c>
      <c r="C17" s="14">
        <v>24234</v>
      </c>
      <c r="J17" t="s">
        <v>257</v>
      </c>
      <c r="K17">
        <f>COUNTIF(Table1[[DESIGNATION ]],C5)</f>
        <v>3</v>
      </c>
    </row>
    <row r="18" spans="2:11" x14ac:dyDescent="0.3">
      <c r="B18" s="2" t="s">
        <v>237</v>
      </c>
      <c r="C18" s="15">
        <v>36535</v>
      </c>
      <c r="J18" t="s">
        <v>258</v>
      </c>
      <c r="K18">
        <f>SUMIF(Table1[[DESIGNATION ]],C5,Table1[MONTHLY EXPENSES])</f>
        <v>117252</v>
      </c>
    </row>
    <row r="19" spans="2:11" x14ac:dyDescent="0.3">
      <c r="B19" s="3" t="s">
        <v>238</v>
      </c>
      <c r="C19" s="14">
        <v>24242</v>
      </c>
      <c r="J19" t="s">
        <v>259</v>
      </c>
      <c r="K19" s="11">
        <f>K18/K17</f>
        <v>39084</v>
      </c>
    </row>
    <row r="20" spans="2:11" x14ac:dyDescent="0.3">
      <c r="B20" s="2" t="s">
        <v>239</v>
      </c>
      <c r="C20" s="15">
        <v>36757</v>
      </c>
      <c r="E20" t="s">
        <v>252</v>
      </c>
      <c r="F20">
        <f>SUM(E:E)</f>
        <v>427620</v>
      </c>
    </row>
    <row r="21" spans="2:11" x14ac:dyDescent="0.3">
      <c r="B21" s="3" t="s">
        <v>240</v>
      </c>
      <c r="C21" s="14">
        <v>12324</v>
      </c>
      <c r="E21" t="s">
        <v>253</v>
      </c>
      <c r="F21" t="e" cm="1" vm="1">
        <f t="array" aca="1" ref="F21" ca="1">_xlfn.UNIQUE(Table1[[#All],[DESIGNATION ]])</f>
        <v>#VALUE!</v>
      </c>
    </row>
    <row r="22" spans="2:11" x14ac:dyDescent="0.3">
      <c r="B22" s="12" t="s">
        <v>261</v>
      </c>
      <c r="C22" s="16">
        <v>56475</v>
      </c>
      <c r="J22" t="s">
        <v>262</v>
      </c>
      <c r="K22">
        <f>SUMIF(Table1[DEPARTMENT],F8,Table1[MONTHLY EXPENSES])</f>
        <v>93010</v>
      </c>
    </row>
    <row r="24" spans="2:11" x14ac:dyDescent="0.3">
      <c r="J24" s="17" t="s">
        <v>260</v>
      </c>
      <c r="K24">
        <f>K22/K17</f>
        <v>31003.333333333332</v>
      </c>
    </row>
    <row r="25" spans="2:11" x14ac:dyDescent="0.3">
      <c r="J25" s="17"/>
    </row>
    <row r="26" spans="2:11" x14ac:dyDescent="0.3">
      <c r="E26" t="s">
        <v>254</v>
      </c>
      <c r="F26">
        <f>COUNTA(A2:A8)</f>
        <v>7</v>
      </c>
    </row>
    <row r="27" spans="2:11" x14ac:dyDescent="0.3">
      <c r="E27" t="s">
        <v>255</v>
      </c>
      <c r="F27">
        <f>F20/F26</f>
        <v>61088.571428571428</v>
      </c>
    </row>
  </sheetData>
  <mergeCells count="1">
    <mergeCell ref="J24:J2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princi kumari</cp:lastModifiedBy>
  <dcterms:created xsi:type="dcterms:W3CDTF">2026-03-14T11:41:12Z</dcterms:created>
  <dcterms:modified xsi:type="dcterms:W3CDTF">2026-04-02T08:39:51Z</dcterms:modified>
</cp:coreProperties>
</file>